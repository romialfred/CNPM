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7c81bfe5b4c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31de1284a4a84c2c"/>
    <x:sheet xmlns:r="http://schemas.openxmlformats.org/officeDocument/2006/relationships" name="Backlog" sheetId="2" r:id="R7a670a3129c947e9"/>
    <x:sheet xmlns:r="http://schemas.openxmlformats.org/officeDocument/2006/relationships" name="Traçabilité" sheetId="3" r:id="R1c62a22ccfb44d89"/>
    <x:sheet xmlns:r="http://schemas.openxmlformats.org/officeDocument/2006/relationships" name="Cas de recette" sheetId="4" r:id="R82a48767888d4420"/>
    <x:sheet xmlns:r="http://schemas.openxmlformats.org/officeDocument/2006/relationships" name="Plan releases" sheetId="5" r:id="R1c65e1eaa03744d6"/>
    <x:sheet xmlns:r="http://schemas.openxmlformats.org/officeDocument/2006/relationships" name="Risques" sheetId="6" r:id="R1412eb9a69324219"/>
    <x:sheet xmlns:r="http://schemas.openxmlformats.org/officeDocument/2006/relationships" name="Décisions ouvertes" sheetId="7" r:id="R62d3acd0d81b4975"/>
    <x:sheet xmlns:r="http://schemas.openxmlformats.org/officeDocument/2006/relationships" name="Règles métier" sheetId="8" r:id="R7a190ac3f208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8"/>
      <x:color rgb="FF1F3A93"/>
      <x:name val="Aptos Display"/>
    </x:font>
    <x:font>
      <x:sz val="10"/>
      <x:color rgb="FF5D6470"/>
      <x:name val="Aptos"/>
    </x:font>
    <x:font>
      <x:b/>
      <x:sz val="10"/>
      <x:color rgb="FF1F3A93"/>
      <x:name val="Aptos"/>
    </x:font>
    <x:font>
      <x:b/>
      <x:sz val="15"/>
      <x:color rgb="FF1A1D24"/>
      <x:name val="Aptos Display"/>
    </x:font>
    <x:font>
      <x:sz val="9"/>
      <x:color rgb="FF5D6470"/>
      <x:name val="Aptos"/>
    </x:font>
    <x:font>
      <x:b/>
      <x:sz val="12"/>
      <x:color rgb="FF1F3A93"/>
      <x:name val="Carlito"/>
    </x:font>
    <x:font>
      <x:sz val="10"/>
      <x:color rgb="FF1A1D24"/>
      <x:name val="Aptos"/>
    </x:font>
    <x:font>
      <x:b/>
      <x:sz val="9"/>
      <x:color rgb="FF1F3A93"/>
      <x:name val="Aptos"/>
    </x:font>
    <x:font>
      <x:sz val="9"/>
      <x:color rgb="FF1A1D24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1" xfId="0" applyNumberFormat="1" applyFont="1" applyFill="1" applyBorder="1"/>
    <x:xf numFmtId="200" fontId="4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F7A4D"/>
      </x:font>
    </x:dxf>
    <x:dxf>
      <x:font>
        <x:b/>
        <x:color rgb="FFB42318"/>
      </x:font>
    </x:dxf>
    <x:dxf>
      <x:font>
        <x:b/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a1968f33b45ce" /><Relationship Type="http://schemas.openxmlformats.org/officeDocument/2006/relationships/theme" Target="/xl/theme/theme1.xml" Id="R4114f0365ab3487c" /><Relationship Type="http://schemas.openxmlformats.org/officeDocument/2006/relationships/sharedStrings" Target="/xl/sharedStrings.xml" Id="R91b6c2e2aa9f4d19" /><Relationship Type="http://schemas.openxmlformats.org/officeDocument/2006/relationships/worksheet" Target="/xl/worksheets/sheet1.xml" Id="R31de1284a4a84c2c" /><Relationship Type="http://schemas.openxmlformats.org/officeDocument/2006/relationships/worksheet" Target="/xl/worksheets/sheet2.xml" Id="R7a670a3129c947e9" /><Relationship Type="http://schemas.openxmlformats.org/officeDocument/2006/relationships/worksheet" Target="/xl/worksheets/sheet3.xml" Id="R1c62a22ccfb44d89" /><Relationship Type="http://schemas.openxmlformats.org/officeDocument/2006/relationships/worksheet" Target="/xl/worksheets/sheet4.xml" Id="R82a48767888d4420" /><Relationship Type="http://schemas.openxmlformats.org/officeDocument/2006/relationships/worksheet" Target="/xl/worksheets/sheet5.xml" Id="R1c65e1eaa03744d6" /><Relationship Type="http://schemas.openxmlformats.org/officeDocument/2006/relationships/worksheet" Target="/xl/worksheets/sheet6.xml" Id="R1412eb9a69324219" /><Relationship Type="http://schemas.openxmlformats.org/officeDocument/2006/relationships/worksheet" Target="/xl/worksheets/sheet7.xml" Id="R62d3acd0d81b4975" /><Relationship Type="http://schemas.openxmlformats.org/officeDocument/2006/relationships/worksheet" Target="/xl/worksheets/sheet8.xml" Id="R7a190ac3f20845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62" hidden="0" customWidth="1"/>
  </x:cols>
  <x:sheetData>
    <x:row r="1" ht="30" customHeight="1">
      <x:c r="A1" s="4" t="str">
        <x:v>CNPM - Backlog, traçabilité et recette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Baseline de développement issue des 144 exigences. Les décisions ouvertes doivent être clôturées avant les stories concernées.</x:v>
      </x:c>
      <x:c r="B2" s="10"/>
      <x:c r="C2" s="10"/>
      <x:c r="D2" s="10"/>
      <x:c r="E2" s="10"/>
      <x:c r="F2" s="10"/>
      <x:c r="G2" s="10"/>
      <x:c r="H2" s="10"/>
    </x:row>
    <x:row r="5">
      <x:c r="A5" s="14" t="str">
        <x:v>Exigences</x:v>
      </x:c>
      <x:c r="B5" s="17" t="n">
        <x:f>COUNTA(Backlog!B4:B500)</x:f>
        <x:v>144</x:v>
      </x:c>
      <x:c r="C5" s="21" t="str">
        <x:v>Exigences fonctionnelles et non fonctionnelles.</x:v>
      </x:c>
    </x:row>
    <x:row r="6">
      <x:c r="A6" s="14" t="str">
        <x:v>Stories Must</x:v>
      </x:c>
      <x:c r="B6" s="17" t="n">
        <x:f>COUNTIF(Backlog!H4:H500,"Must")</x:f>
        <x:v>104</x:v>
      </x:c>
      <x:c r="C6" s="21" t="str">
        <x:v>Priorité obligatoire.</x:v>
      </x:c>
    </x:row>
    <x:row r="7">
      <x:c r="A7" s="14" t="str">
        <x:v>Stories R1</x:v>
      </x:c>
      <x:c r="B7" s="17" t="n">
        <x:f>COUNTIF(Backlog!I4:I500,"R1 - PoC bout en bout")</x:f>
        <x:v>46</x:v>
      </x:c>
      <x:c r="C7" s="21" t="str">
        <x:v>Périmètre de démonstration bout en bout.</x:v>
      </x:c>
    </x:row>
    <x:row r="8">
      <x:c r="A8" s="14" t="str">
        <x:v>Cas de recette</x:v>
      </x:c>
      <x:c r="B8" s="17" t="n">
        <x:f>COUNTA('Cas de recette'!A4:A1000)</x:f>
        <x:v>361</x:v>
      </x:c>
      <x:c r="C8" s="21" t="str">
        <x:v>Nominal, contrôle et scénarios critiques.</x:v>
      </x:c>
    </x:row>
    <x:row r="9">
      <x:c r="A9" s="14" t="str">
        <x:v>Décisions ouvertes</x:v>
      </x:c>
      <x:c r="B9" s="17" t="n">
        <x:f>COUNTA('Décisions ouvertes'!A4:A100)</x:f>
        <x:v>12</x:v>
      </x:c>
      <x:c r="C9" s="21" t="str">
        <x:v>À traiter par le comité de pilotage.</x:v>
      </x:c>
    </x:row>
    <x:row r="10">
      <x:c r="A10" s="14" t="str">
        <x:v>Risques critiques</x:v>
      </x:c>
      <x:c r="B10" s="17" t="n">
        <x:f>COUNTIF(Risques!E4:E100,"Critique")</x:f>
        <x:v>4</x:v>
      </x:c>
      <x:c r="C10" s="21" t="str">
        <x:v>Mesures à suivre avant mise en production.</x:v>
      </x:c>
    </x:row>
    <x:row r="13">
      <x:c r="A13" s="24" t="str">
        <x:v>Principes de pilotage</x:v>
      </x:c>
      <x:c r="B13" s="24"/>
      <x:c r="C13" s="24"/>
      <x:c r="D13" s="24"/>
      <x:c r="E13" s="24"/>
      <x:c r="F13" s="24"/>
      <x:c r="G13" s="24"/>
      <x:c r="H13" s="24"/>
    </x:row>
    <x:row r="14" ht="28" customHeight="1">
      <x:c r="A14" s="33" t="str">
        <x:v>1</x:v>
      </x:c>
      <x:c r="B14" s="28" t="str">
        <x:v>Une story ne démarre que si la Definition of Ready est satisfaite.</x:v>
      </x:c>
      <x:c r="C14" s="28" t="str"/>
      <x:c r="D14" s="28" t="str"/>
      <x:c r="E14" s="28" t="str"/>
      <x:c r="F14" s="28" t="str"/>
      <x:c r="G14" s="28" t="str"/>
      <x:c r="H14" s="28" t="str"/>
    </x:row>
    <x:row r="15" ht="28" customHeight="1">
      <x:c r="A15" s="33" t="str">
        <x:v>2</x:v>
      </x:c>
      <x:c r="B15" s="28" t="str">
        <x:v>La traçabilité exigence-story-API-données-permission-test est obligatoire.</x:v>
      </x:c>
      <x:c r="C15" s="28" t="str"/>
      <x:c r="D15" s="28" t="str"/>
      <x:c r="E15" s="28" t="str"/>
      <x:c r="F15" s="28" t="str"/>
      <x:c r="G15" s="28" t="str"/>
      <x:c r="H15" s="28" t="str"/>
    </x:row>
    <x:row r="16" ht="28" customHeight="1">
      <x:c r="A16" s="33" t="str">
        <x:v>3</x:v>
      </x:c>
      <x:c r="B16" s="28" t="str">
        <x:v>Les règles financières et de sécurité exigent une revue indépendante.</x:v>
      </x:c>
      <x:c r="C16" s="28" t="str"/>
      <x:c r="D16" s="28" t="str"/>
      <x:c r="E16" s="28" t="str"/>
      <x:c r="F16" s="28" t="str"/>
      <x:c r="G16" s="28" t="str"/>
      <x:c r="H16" s="28" t="str"/>
    </x:row>
    <x:row r="17" ht="28" customHeight="1">
      <x:c r="A17" s="33" t="str">
        <x:v>4</x:v>
      </x:c>
      <x:c r="B17" s="28" t="str">
        <x:v>Toute contradiction est enregistrée comme décision ouverte, jamais arbitrée silencieusement.</x:v>
      </x:c>
      <x:c r="C17" s="28" t="str"/>
      <x:c r="D17" s="28" t="str"/>
      <x:c r="E17" s="28" t="str"/>
      <x:c r="F17" s="28" t="str"/>
      <x:c r="G17" s="28" t="str"/>
      <x:c r="H17" s="28" t="str"/>
    </x:row>
    <x:row r="18" ht="28" customHeight="1">
      <x:c r="A18" s="33" t="str">
        <x:v>5</x:v>
      </x:c>
      <x:c r="B18" s="28" t="str">
        <x:v>Les preuves de recette et de sécurité conditionnent la clôture.</x:v>
      </x:c>
      <x:c r="C18" s="28" t="str"/>
      <x:c r="D18" s="28" t="str"/>
      <x:c r="E18" s="28" t="str"/>
      <x:c r="F18" s="28" t="str"/>
      <x:c r="G18" s="28" t="str"/>
      <x:c r="H18" s="28" t="str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30" hidden="0" customWidth="1"/>
    <x:col min="4" max="4" width="42" hidden="0" customWidth="1"/>
    <x:col min="5" max="5" width="26" hidden="0" customWidth="1"/>
    <x:col min="6" max="6" width="58" hidden="0" customWidth="1"/>
    <x:col min="7" max="7" width="35" hidden="0" customWidth="1"/>
    <x:col min="8" max="8" width="11" hidden="0" customWidth="1"/>
    <x:col min="9" max="9" width="25" hidden="0" customWidth="1"/>
    <x:col min="10" max="10" width="14" hidden="0" customWidth="1"/>
    <x:col min="11" max="11" width="32" hidden="0" customWidth="1"/>
    <x:col min="12" max="12" width="28" hidden="0" customWidth="1"/>
    <x:col min="13" max="13" width="42" hidden="0" customWidth="1"/>
    <x:col min="14" max="14" width="36" hidden="0" customWidth="1"/>
    <x:col min="15" max="15" width="58" hidden="0" customWidth="1"/>
    <x:col min="16" max="16" width="14" hidden="0" customWidth="1"/>
    <x:col min="17" max="17" width="16" hidden="0" customWidth="1"/>
    <x:col min="18" max="18" width="36" hidden="0" customWidth="1"/>
    <x:col min="19" max="19" width="12" hidden="0" customWidth="1"/>
    <x:col min="20" max="20" width="18" hidden="0" customWidth="1"/>
    <x:col min="21" max="21" width="28" hidden="0" customWidth="1"/>
  </x:cols>
  <x:sheetData>
    <x:row r="1" ht="30" customHeight="1">
      <x:c r="A1" s="4" t="str">
        <x:v>Backlog produit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8" customHeight="1">
      <x:c r="A2" s="10" t="str">
        <x:v>Chaque ligne est reliée à une exigence source, un contrat, des données et des tests. Les estimations sont indicatives.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3" ht="30" customHeight="1">
      <x:c r="A3" s="37" t="str">
        <x:v>ID Story</x:v>
      </x:c>
      <x:c r="B3" s="37" t="str">
        <x:v>ID Exigence</x:v>
      </x:c>
      <x:c r="C3" s="37" t="str">
        <x:v>Epic / Module</x:v>
      </x:c>
      <x:c r="D3" s="37" t="str">
        <x:v>Titre</x:v>
      </x:c>
      <x:c r="E3" s="37" t="str">
        <x:v>Acteur</x:v>
      </x:c>
      <x:c r="F3" s="37" t="str">
        <x:v>User story</x:v>
      </x:c>
      <x:c r="G3" s="37" t="str">
        <x:v>Valeur métier</x:v>
      </x:c>
      <x:c r="H3" s="37" t="str">
        <x:v>Priorité</x:v>
      </x:c>
      <x:c r="I3" s="37" t="str">
        <x:v>Release</x:v>
      </x:c>
      <x:c r="J3" s="37" t="str">
        <x:v>Statut</x:v>
      </x:c>
      <x:c r="K3" s="37" t="str">
        <x:v>Dépendances</x:v>
      </x:c>
      <x:c r="L3" s="37" t="str">
        <x:v>Permission</x:v>
      </x:c>
      <x:c r="M3" s="37" t="str">
        <x:v>Objets de données</x:v>
      </x:c>
      <x:c r="N3" s="37" t="str">
        <x:v>API / Contrat</x:v>
      </x:c>
      <x:c r="O3" s="37" t="str">
        <x:v>Critère d’acceptation</x:v>
      </x:c>
      <x:c r="P3" s="37" t="str">
        <x:v>Audit</x:v>
      </x:c>
      <x:c r="Q3" s="37" t="str">
        <x:v>Classification</x:v>
      </x:c>
      <x:c r="R3" s="37" t="str">
        <x:v>Types de test</x:v>
      </x:c>
      <x:c r="S3" s="37" t="str">
        <x:v>Estimation (pts)</x:v>
      </x:c>
      <x:c r="T3" s="37" t="str">
        <x:v>Responsable</x:v>
      </x:c>
      <x:c r="U3" s="37" t="str">
        <x:v>Notes</x:v>
      </x:c>
    </x:row>
    <x:row r="4">
      <x:c r="A4" s="42" t="str">
        <x:v>US-ADM-001</x:v>
      </x:c>
      <x:c r="B4" s="42" t="str">
        <x:v>ADM-001</x:v>
      </x:c>
      <x:c r="C4" s="42" t="str">
        <x:v>Administration et paramétrage</x:v>
      </x:c>
      <x:c r="D4" s="42" t="str">
        <x:v>Créer, modifier, désactiver et historiser chaque valeur de référentiel</x:v>
      </x:c>
      <x:c r="E4" s="42" t="str">
        <x:v>Administrateur fonctionnel</x:v>
      </x:c>
      <x:c r="F4" s="42" t="str">
        <x:v>En tant que administrateur fonctionnel, je veux créer, modifier, désactiver et historiser chaque valeur de référentiel. afin de garantir le fonctionnement attendu du module administration et paramétrage.</x:v>
      </x:c>
      <x:c r="G4" s="42" t="str">
        <x:v>Conformité métier, qualité de service et traçabilité.</x:v>
      </x:c>
      <x:c r="H4" s="42" t="str">
        <x:v>Must</x:v>
      </x:c>
      <x:c r="I4" s="42" t="str">
        <x:v>R0 - Fondations</x:v>
      </x:c>
      <x:c r="J4" s="42" t="str">
        <x:v>À faire</x:v>
      </x:c>
      <x:c r="K4" s="42" t="str">
        <x:v>Architecture et gouvernance approuvées</x:v>
      </x:c>
      <x:c r="L4" s="42" t="str">
        <x:v>ADMIN.REFERENTIAL.WRITE</x:v>
      </x:c>
      <x:c r="M4" s="42" t="str">
        <x:v>ref.reference_value; ref.number_sequence</x:v>
      </x:c>
      <x:c r="N4" s="42" t="str">
        <x:v>/api/v1/admin/referentials</x:v>
      </x:c>
      <x:c r="O4" s="42" t="str">
        <x:v>Toute modification conserve auteur, date, ancienne et nouvelle valeur.</x:v>
      </x:c>
      <x:c r="P4" s="42" t="str">
        <x:v>Obligatoire</x:v>
      </x:c>
      <x:c r="Q4" s="42" t="str">
        <x:v>Interne</x:v>
      </x:c>
      <x:c r="R4" s="42" t="str">
        <x:v>Unitaire; intégration; autorisation; audit</x:v>
      </x:c>
      <x:c r="S4" s="42" t="n">
        <x:v>8</x:v>
      </x:c>
      <x:c r="T4" s="42" t="str">
        <x:v>À affecter</x:v>
      </x:c>
      <x:c r="U4" s="42" t="str"/>
    </x:row>
    <x:row r="5">
      <x:c r="A5" s="42" t="str">
        <x:v>US-ADM-002</x:v>
      </x:c>
      <x:c r="B5" s="42" t="str">
        <x:v>ADM-002</x:v>
      </x:c>
      <x:c r="C5" s="42" t="str">
        <x:v>Administration et paramétrage</x:v>
      </x:c>
      <x:c r="D5" s="42" t="str">
        <x:v>Soumettre les changements sensibles à validation à quatre yeux</x:v>
      </x:c>
      <x:c r="E5" s="42" t="str">
        <x:v>Administrateur fonctionnel</x:v>
      </x:c>
      <x:c r="F5" s="42" t="str">
        <x:v>En tant que administrateur fonctionnel, je veux soumettre les changements sensibles à validation à quatre yeux. afin de garantir le fonctionnement attendu du module administration et paramétrage.</x:v>
      </x:c>
      <x:c r="G5" s="42" t="str">
        <x:v>Conformité métier, qualité de service et traçabilité.</x:v>
      </x:c>
      <x:c r="H5" s="42" t="str">
        <x:v>Must</x:v>
      </x:c>
      <x:c r="I5" s="42" t="str">
        <x:v>R0 - Fondations</x:v>
      </x:c>
      <x:c r="J5" s="42" t="str">
        <x:v>À faire</x:v>
      </x:c>
      <x:c r="K5" s="42" t="str">
        <x:v>Architecture et gouvernance approuvées</x:v>
      </x:c>
      <x:c r="L5" s="42" t="str">
        <x:v>ADMIN.REFERENTIAL.WRITE</x:v>
      </x:c>
      <x:c r="M5" s="42" t="str">
        <x:v>ref.reference_value; ref.number_sequence</x:v>
      </x:c>
      <x:c r="N5" s="42" t="str">
        <x:v>/api/v1/admin/referentials</x:v>
      </x:c>
      <x:c r="O5" s="42" t="str">
        <x:v>Aucune règle financière publiée sans second valideur.</x:v>
      </x:c>
      <x:c r="P5" s="42" t="str">
        <x:v>Obligatoire</x:v>
      </x:c>
      <x:c r="Q5" s="42" t="str">
        <x:v>Interne</x:v>
      </x:c>
      <x:c r="R5" s="42" t="str">
        <x:v>Unitaire; intégration; autorisation; audit</x:v>
      </x:c>
      <x:c r="S5" s="42" t="n">
        <x:v>8</x:v>
      </x:c>
      <x:c r="T5" s="42" t="str">
        <x:v>À affecter</x:v>
      </x:c>
      <x:c r="U5" s="42" t="str"/>
    </x:row>
    <x:row r="6">
      <x:c r="A6" s="42" t="str">
        <x:v>US-ADM-003</x:v>
      </x:c>
      <x:c r="B6" s="42" t="str">
        <x:v>ADM-003</x:v>
      </x:c>
      <x:c r="C6" s="42" t="str">
        <x:v>Administration et paramétrage</x:v>
      </x:c>
      <x:c r="D6" s="42" t="str">
        <x:v>Importer/exporter les référentiels en Excel avec contrôle de format</x:v>
      </x:c>
      <x:c r="E6" s="42" t="str">
        <x:v>Administrateur fonctionnel</x:v>
      </x:c>
      <x:c r="F6" s="42" t="str">
        <x:v>En tant que administrateur fonctionnel, je veux importer/exporter les référentiels en Excel avec contrôle de format. afin de garantir le fonctionnement attendu du module administration et paramétrage.</x:v>
      </x:c>
      <x:c r="G6" s="42" t="str">
        <x:v>Conformité métier, qualité de service et traçabilité.</x:v>
      </x:c>
      <x:c r="H6" s="42" t="str">
        <x:v>Should</x:v>
      </x:c>
      <x:c r="I6" s="42" t="str">
        <x:v>R0 - Fondations</x:v>
      </x:c>
      <x:c r="J6" s="42" t="str">
        <x:v>À faire</x:v>
      </x:c>
      <x:c r="K6" s="42" t="str">
        <x:v>Architecture et gouvernance approuvées</x:v>
      </x:c>
      <x:c r="L6" s="42" t="str">
        <x:v>ADMIN.REFERENTIAL.WRITE</x:v>
      </x:c>
      <x:c r="M6" s="42" t="str">
        <x:v>ref.reference_value; ref.number_sequence</x:v>
      </x:c>
      <x:c r="N6" s="42" t="str">
        <x:v>/api/v1/admin/referentials</x:v>
      </x:c>
      <x:c r="O6" s="42" t="str">
        <x:v>Rapport d’erreurs ligne par ligne disponible.</x:v>
      </x:c>
      <x:c r="P6" s="42" t="str">
        <x:v>Obligatoire</x:v>
      </x:c>
      <x:c r="Q6" s="42" t="str">
        <x:v>Interne</x:v>
      </x:c>
      <x:c r="R6" s="42" t="str">
        <x:v>Unitaire; intégration; autorisation; audit</x:v>
      </x:c>
      <x:c r="S6" s="42" t="n">
        <x:v>5</x:v>
      </x:c>
      <x:c r="T6" s="42" t="str">
        <x:v>À affecter</x:v>
      </x:c>
      <x:c r="U6" s="42" t="str"/>
    </x:row>
    <x:row r="7">
      <x:c r="A7" s="42" t="str">
        <x:v>US-ADM-004</x:v>
      </x:c>
      <x:c r="B7" s="42" t="str">
        <x:v>ADM-004</x:v>
      </x:c>
      <x:c r="C7" s="42" t="str">
        <x:v>Administration et paramétrage</x:v>
      </x:c>
      <x:c r="D7" s="42" t="str">
        <x:v>Versionner les barèmes et empêcher les modifications rétroactives non autorisées</x:v>
      </x:c>
      <x:c r="E7" s="42" t="str">
        <x:v>Administrateur fonctionnel</x:v>
      </x:c>
      <x:c r="F7" s="42" t="str">
        <x:v>En tant que administrateur fonctionnel, je veux versionner les barèmes et empêcher les modifications rétroactives non autorisées. afin de garantir le fonctionnement attendu du module administration et paramétrage.</x:v>
      </x:c>
      <x:c r="G7" s="42" t="str">
        <x:v>Conformité métier, qualité de service et traçabilité.</x:v>
      </x:c>
      <x:c r="H7" s="42" t="str">
        <x:v>Must</x:v>
      </x:c>
      <x:c r="I7" s="42" t="str">
        <x:v>R0 - Fondations</x:v>
      </x:c>
      <x:c r="J7" s="42" t="str">
        <x:v>À faire</x:v>
      </x:c>
      <x:c r="K7" s="42" t="str">
        <x:v>Architecture et gouvernance approuvées</x:v>
      </x:c>
      <x:c r="L7" s="42" t="str">
        <x:v>ADMIN.REFERENTIAL.WRITE</x:v>
      </x:c>
      <x:c r="M7" s="42" t="str">
        <x:v>ref.reference_value; ref.number_sequence</x:v>
      </x:c>
      <x:c r="N7" s="42" t="str">
        <x:v>/api/v1/admin/referentials</x:v>
      </x:c>
      <x:c r="O7" s="42" t="str">
        <x:v>Une version publiée est immutable; une correction crée une nouvelle version.</x:v>
      </x:c>
      <x:c r="P7" s="42" t="str">
        <x:v>Obligatoire</x:v>
      </x:c>
      <x:c r="Q7" s="42" t="str">
        <x:v>Interne</x:v>
      </x:c>
      <x:c r="R7" s="42" t="str">
        <x:v>Unitaire; intégration; autorisation; audit</x:v>
      </x:c>
      <x:c r="S7" s="42" t="n">
        <x:v>8</x:v>
      </x:c>
      <x:c r="T7" s="42" t="str">
        <x:v>À affecter</x:v>
      </x:c>
      <x:c r="U7" s="42" t="str"/>
    </x:row>
    <x:row r="8">
      <x:c r="A8" s="42" t="str">
        <x:v>US-ADM-005</x:v>
      </x:c>
      <x:c r="B8" s="42" t="str">
        <x:v>ADM-005</x:v>
      </x:c>
      <x:c r="C8" s="42" t="str">
        <x:v>Administration et paramétrage</x:v>
      </x:c>
      <x:c r="D8" s="42" t="str">
        <x:v>Simuler l’impact d’un nouveau barème avant publication</x:v>
      </x:c>
      <x:c r="E8" s="42" t="str">
        <x:v>Administrateur fonctionnel</x:v>
      </x:c>
      <x:c r="F8" s="42" t="str">
        <x:v>En tant que administrateur fonctionnel, je veux simuler l’impact d’un nouveau barème avant publication. afin de garantir le fonctionnement attendu du module administration et paramétrage.</x:v>
      </x:c>
      <x:c r="G8" s="42" t="str">
        <x:v>Conformité métier, qualité de service et traçabilité.</x:v>
      </x:c>
      <x:c r="H8" s="42" t="str">
        <x:v>Could</x:v>
      </x:c>
      <x:c r="I8" s="42" t="str">
        <x:v>R0 - Fondations</x:v>
      </x:c>
      <x:c r="J8" s="42" t="str">
        <x:v>À faire</x:v>
      </x:c>
      <x:c r="K8" s="42" t="str">
        <x:v>Architecture et gouvernance approuvées</x:v>
      </x:c>
      <x:c r="L8" s="42" t="str">
        <x:v>ADMIN.REFERENTIAL.WRITE</x:v>
      </x:c>
      <x:c r="M8" s="42" t="str">
        <x:v>ref.reference_value; ref.number_sequence</x:v>
      </x:c>
      <x:c r="N8" s="42" t="str">
        <x:v>/api/v1/admin/referentials</x:v>
      </x:c>
      <x:c r="O8" s="42" t="str">
        <x:v>Le système calcule le montant projeté sur la base active.</x:v>
      </x:c>
      <x:c r="P8" s="42" t="str">
        <x:v>Obligatoire</x:v>
      </x:c>
      <x:c r="Q8" s="42" t="str">
        <x:v>Interne</x:v>
      </x:c>
      <x:c r="R8" s="42" t="str">
        <x:v>Unitaire; intégration; autorisation; audit</x:v>
      </x:c>
      <x:c r="S8" s="42" t="n">
        <x:v>3</x:v>
      </x:c>
      <x:c r="T8" s="42" t="str">
        <x:v>À affecter</x:v>
      </x:c>
      <x:c r="U8" s="42" t="str"/>
    </x:row>
    <x:row r="9">
      <x:c r="A9" s="42" t="str">
        <x:v>US-MEM-001</x:v>
      </x:c>
      <x:c r="B9" s="42" t="str">
        <x:v>MEM-001</x:v>
      </x:c>
      <x:c r="C9" s="42" t="str">
        <x:v>Membres et entreprises</x:v>
      </x:c>
      <x:c r="D9" s="42" t="str">
        <x:v>Attribuer un identifiant CNPM unique non réutilisable</x:v>
      </x:c>
      <x:c r="E9" s="42" t="str">
        <x:v>Gestionnaire membres</x:v>
      </x:c>
      <x:c r="F9" s="42" t="str">
        <x:v>En tant que gestionnaire membres, je veux attribuer un identifiant CNPM unique non réutilisable. afin de garantir le fonctionnement attendu du module membres et entreprises.</x:v>
      </x:c>
      <x:c r="G9" s="42" t="str">
        <x:v>Conformité métier, qualité de service et traçabilité.</x:v>
      </x:c>
      <x:c r="H9" s="42" t="str">
        <x:v>Must</x:v>
      </x:c>
      <x:c r="I9" s="42" t="str">
        <x:v>R1 - PoC bout en bout</x:v>
      </x:c>
      <x:c r="J9" s="42" t="str">
        <x:v>À faire</x:v>
      </x:c>
      <x:c r="K9" s="42" t="str">
        <x:v>Décisions ouvertes applicables; socle R0</x:v>
      </x:c>
      <x:c r="L9" s="42" t="str">
        <x:v>MEMBER.WRITE</x:v>
      </x:c>
      <x:c r="M9" s="42" t="str">
        <x:v>member.organization; member.membership</x:v>
      </x:c>
      <x:c r="N9" s="42" t="str">
        <x:v>/api/v1/organizations</x:v>
      </x:c>
      <x:c r="O9" s="42" t="str">
        <x:v>Deux comptes ne peuvent partager le même identifiant.</x:v>
      </x:c>
      <x:c r="P9" s="42" t="str">
        <x:v>Obligatoire</x:v>
      </x:c>
      <x:c r="Q9" s="42" t="str">
        <x:v>Confidentiel</x:v>
      </x:c>
      <x:c r="R9" s="42" t="str">
        <x:v>Unitaire; intégration; autorisation; audit</x:v>
      </x:c>
      <x:c r="S9" s="42" t="n">
        <x:v>8</x:v>
      </x:c>
      <x:c r="T9" s="42" t="str">
        <x:v>À affecter</x:v>
      </x:c>
      <x:c r="U9" s="42" t="str"/>
    </x:row>
    <x:row r="10">
      <x:c r="A10" s="42" t="str">
        <x:v>US-MEM-002</x:v>
      </x:c>
      <x:c r="B10" s="42" t="str">
        <x:v>MEM-002</x:v>
      </x:c>
      <x:c r="C10" s="42" t="str">
        <x:v>Membres et entreprises</x:v>
      </x:c>
      <x:c r="D10" s="42" t="str">
        <x:v>Détecter les doublons par NIF, RCCM, raison sociale, téléphone et e-mail</x:v>
      </x:c>
      <x:c r="E10" s="42" t="str">
        <x:v>Gestionnaire membres</x:v>
      </x:c>
      <x:c r="F10" s="42" t="str">
        <x:v>En tant que gestionnaire membres, je veux détecter les doublons par NIF, RCCM, raison sociale, téléphone et e-mail. afin de garantir le fonctionnement attendu du module membres et entreprises.</x:v>
      </x:c>
      <x:c r="G10" s="42" t="str">
        <x:v>Conformité métier, qualité de service et traçabilité.</x:v>
      </x:c>
      <x:c r="H10" s="42" t="str">
        <x:v>Must</x:v>
      </x:c>
      <x:c r="I10" s="42" t="str">
        <x:v>R1 - PoC bout en bout</x:v>
      </x:c>
      <x:c r="J10" s="42" t="str">
        <x:v>À faire</x:v>
      </x:c>
      <x:c r="K10" s="42" t="str">
        <x:v>Décisions ouvertes applicables; socle R0</x:v>
      </x:c>
      <x:c r="L10" s="42" t="str">
        <x:v>MEMBER.WRITE</x:v>
      </x:c>
      <x:c r="M10" s="42" t="str">
        <x:v>member.organization; member.membership</x:v>
      </x:c>
      <x:c r="N10" s="42" t="str">
        <x:v>/api/v1/organizations</x:v>
      </x:c>
      <x:c r="O10" s="42" t="str">
        <x:v>Le système bloque ou soumet à arbitrage selon le score de similarité.</x:v>
      </x:c>
      <x:c r="P10" s="42" t="str">
        <x:v>Obligatoire</x:v>
      </x:c>
      <x:c r="Q10" s="42" t="str">
        <x:v>Confidentiel</x:v>
      </x:c>
      <x:c r="R10" s="42" t="str">
        <x:v>Unitaire; intégration; autorisation; audit</x:v>
      </x:c>
      <x:c r="S10" s="42" t="n">
        <x:v>8</x:v>
      </x:c>
      <x:c r="T10" s="42" t="str">
        <x:v>À affecter</x:v>
      </x:c>
      <x:c r="U10" s="42" t="str"/>
    </x:row>
    <x:row r="11">
      <x:c r="A11" s="42" t="str">
        <x:v>US-MEM-003</x:v>
      </x:c>
      <x:c r="B11" s="42" t="str">
        <x:v>MEM-003</x:v>
      </x:c>
      <x:c r="C11" s="42" t="str">
        <x:v>Membres et entreprises</x:v>
      </x:c>
      <x:c r="D11" s="42" t="str">
        <x:v>Gérer plusieurs établissements et plusieurs contacts par entreprise</x:v>
      </x:c>
      <x:c r="E11" s="42" t="str">
        <x:v>Gestionnaire membres</x:v>
      </x:c>
      <x:c r="F11" s="42" t="str">
        <x:v>En tant que gestionnaire membres, je veux gérer plusieurs établissements et plusieurs contacts par entreprise. afin de garantir le fonctionnement attendu du module membres et entreprises.</x:v>
      </x:c>
      <x:c r="G11" s="42" t="str">
        <x:v>Conformité métier, qualité de service et traçabilité.</x:v>
      </x:c>
      <x:c r="H11" s="42" t="str">
        <x:v>Must</x:v>
      </x:c>
      <x:c r="I11" s="42" t="str">
        <x:v>R1 - PoC bout en bout</x:v>
      </x:c>
      <x:c r="J11" s="42" t="str">
        <x:v>À faire</x:v>
      </x:c>
      <x:c r="K11" s="42" t="str">
        <x:v>Décisions ouvertes applicables; socle R0</x:v>
      </x:c>
      <x:c r="L11" s="42" t="str">
        <x:v>MEMBER.WRITE</x:v>
      </x:c>
      <x:c r="M11" s="42" t="str">
        <x:v>member.organization; member.membership</x:v>
      </x:c>
      <x:c r="N11" s="42" t="str">
        <x:v>/api/v1/organizations</x:v>
      </x:c>
      <x:c r="O11" s="42" t="str">
        <x:v>Un contact principal et un contact financier sont identifiables.</x:v>
      </x:c>
      <x:c r="P11" s="42" t="str">
        <x:v>Obligatoire</x:v>
      </x:c>
      <x:c r="Q11" s="42" t="str">
        <x:v>Confidentiel</x:v>
      </x:c>
      <x:c r="R11" s="42" t="str">
        <x:v>Unitaire; intégration; autorisation; audit</x:v>
      </x:c>
      <x:c r="S11" s="42" t="n">
        <x:v>8</x:v>
      </x:c>
      <x:c r="T11" s="42" t="str">
        <x:v>À affecter</x:v>
      </x:c>
      <x:c r="U11" s="42" t="str"/>
    </x:row>
    <x:row r="12">
      <x:c r="A12" s="42" t="str">
        <x:v>US-MEM-004</x:v>
      </x:c>
      <x:c r="B12" s="42" t="str">
        <x:v>MEM-004</x:v>
      </x:c>
      <x:c r="C12" s="42" t="str">
        <x:v>Membres et entreprises</x:v>
      </x:c>
      <x:c r="D12" s="42" t="str">
        <x:v>Historiser tout changement de catégorie, groupement, statut ou représentant</x:v>
      </x:c>
      <x:c r="E12" s="42" t="str">
        <x:v>Gestionnaire membres</x:v>
      </x:c>
      <x:c r="F12" s="42" t="str">
        <x:v>En tant que gestionnaire membres, je veux historiser tout changement de catégorie, groupement, statut ou représentant. afin de garantir le fonctionnement attendu du module membres et entreprises.</x:v>
      </x:c>
      <x:c r="G12" s="42" t="str">
        <x:v>Conformité métier, qualité de service et traçabilité.</x:v>
      </x:c>
      <x:c r="H12" s="42" t="str">
        <x:v>Must</x:v>
      </x:c>
      <x:c r="I12" s="42" t="str">
        <x:v>R1 - PoC bout en bout</x:v>
      </x:c>
      <x:c r="J12" s="42" t="str">
        <x:v>À faire</x:v>
      </x:c>
      <x:c r="K12" s="42" t="str">
        <x:v>Décisions ouvertes applicables; socle R0</x:v>
      </x:c>
      <x:c r="L12" s="42" t="str">
        <x:v>MEMBER.WRITE</x:v>
      </x:c>
      <x:c r="M12" s="42" t="str">
        <x:v>member.organization; member.membership</x:v>
      </x:c>
      <x:c r="N12" s="42" t="str">
        <x:v>/api/v1/organizations</x:v>
      </x:c>
      <x:c r="O12" s="42" t="str">
        <x:v>La timeline restitue la valeur, l’auteur, la date et le motif.</x:v>
      </x:c>
      <x:c r="P12" s="42" t="str">
        <x:v>Obligatoire</x:v>
      </x:c>
      <x:c r="Q12" s="42" t="str">
        <x:v>Confidentiel</x:v>
      </x:c>
      <x:c r="R12" s="42" t="str">
        <x:v>Unitaire; intégration; autorisation; audit</x:v>
      </x:c>
      <x:c r="S12" s="42" t="n">
        <x:v>8</x:v>
      </x:c>
      <x:c r="T12" s="42" t="str">
        <x:v>À affecter</x:v>
      </x:c>
      <x:c r="U12" s="42" t="str"/>
    </x:row>
    <x:row r="13">
      <x:c r="A13" s="42" t="str">
        <x:v>US-MEM-005</x:v>
      </x:c>
      <x:c r="B13" s="42" t="str">
        <x:v>MEM-005</x:v>
      </x:c>
      <x:c r="C13" s="42" t="str">
        <x:v>Membres et entreprises</x:v>
      </x:c>
      <x:c r="D13" s="42" t="str">
        <x:v>Gérer les fusions, changements de raison sociale et successions juridiques</x:v>
      </x:c>
      <x:c r="E13" s="42" t="str">
        <x:v>Gestionnaire membres</x:v>
      </x:c>
      <x:c r="F13" s="42" t="str">
        <x:v>En tant que gestionnaire membres, je veux gérer les fusions, changements de raison sociale et successions juridiques. afin de garantir le fonctionnement attendu du module membres et entreprises.</x:v>
      </x:c>
      <x:c r="G13" s="42" t="str">
        <x:v>Conformité métier, qualité de service et traçabilité.</x:v>
      </x:c>
      <x:c r="H13" s="42" t="str">
        <x:v>Should</x:v>
      </x:c>
      <x:c r="I13" s="42" t="str">
        <x:v>R1 - PoC bout en bout</x:v>
      </x:c>
      <x:c r="J13" s="42" t="str">
        <x:v>À faire</x:v>
      </x:c>
      <x:c r="K13" s="42" t="str">
        <x:v>Décisions ouvertes applicables; socle R0</x:v>
      </x:c>
      <x:c r="L13" s="42" t="str">
        <x:v>MEMBER.WRITE</x:v>
      </x:c>
      <x:c r="M13" s="42" t="str">
        <x:v>member.organization; member.membership</x:v>
      </x:c>
      <x:c r="N13" s="42" t="str">
        <x:v>/api/v1/organizations</x:v>
      </x:c>
      <x:c r="O13" s="42" t="str">
        <x:v>Les liens entre entités antérieures et nouvelles restent consultables.</x:v>
      </x:c>
      <x:c r="P13" s="42" t="str">
        <x:v>Obligatoire</x:v>
      </x:c>
      <x:c r="Q13" s="42" t="str">
        <x:v>Confidentiel</x:v>
      </x:c>
      <x:c r="R13" s="42" t="str">
        <x:v>Unitaire; intégration; autorisation; audit</x:v>
      </x:c>
      <x:c r="S13" s="42" t="n">
        <x:v>5</x:v>
      </x:c>
      <x:c r="T13" s="42" t="str">
        <x:v>À affecter</x:v>
      </x:c>
      <x:c r="U13" s="42" t="str"/>
    </x:row>
    <x:row r="14">
      <x:c r="A14" s="42" t="str">
        <x:v>US-MEM-006</x:v>
      </x:c>
      <x:c r="B14" s="42" t="str">
        <x:v>MEM-006</x:v>
      </x:c>
      <x:c r="C14" s="42" t="str">
        <x:v>Membres et entreprises</x:v>
      </x:c>
      <x:c r="D14" s="42" t="str">
        <x:v>Générer une carte membre numérique avec QR sécurisé</x:v>
      </x:c>
      <x:c r="E14" s="42" t="str">
        <x:v>Gestionnaire membres</x:v>
      </x:c>
      <x:c r="F14" s="42" t="str">
        <x:v>En tant que gestionnaire membres, je veux générer une carte membre numérique avec QR sécurisé. afin de garantir le fonctionnement attendu du module membres et entreprises.</x:v>
      </x:c>
      <x:c r="G14" s="42" t="str">
        <x:v>Conformité métier, qualité de service et traçabilité.</x:v>
      </x:c>
      <x:c r="H14" s="42" t="str">
        <x:v>Should</x:v>
      </x:c>
      <x:c r="I14" s="42" t="str">
        <x:v>R1 - PoC bout en bout</x:v>
      </x:c>
      <x:c r="J14" s="42" t="str">
        <x:v>À faire</x:v>
      </x:c>
      <x:c r="K14" s="42" t="str">
        <x:v>Décisions ouvertes applicables; socle R0</x:v>
      </x:c>
      <x:c r="L14" s="42" t="str">
        <x:v>MEMBER.WRITE</x:v>
      </x:c>
      <x:c r="M14" s="42" t="str">
        <x:v>member.organization; member.membership</x:v>
      </x:c>
      <x:c r="N14" s="42" t="str">
        <x:v>/api/v1/organizations</x:v>
      </x:c>
      <x:c r="O14" s="42" t="str">
        <x:v>Le QR ouvre une page de vérification sans exposer de données sensibles.</x:v>
      </x:c>
      <x:c r="P14" s="42" t="str">
        <x:v>Obligatoire</x:v>
      </x:c>
      <x:c r="Q14" s="42" t="str">
        <x:v>Confidentiel</x:v>
      </x:c>
      <x:c r="R14" s="42" t="str">
        <x:v>Unitaire; intégration; autorisation; audit</x:v>
      </x:c>
      <x:c r="S14" s="42" t="n">
        <x:v>5</x:v>
      </x:c>
      <x:c r="T14" s="42" t="str">
        <x:v>À affecter</x:v>
      </x:c>
      <x:c r="U14" s="42" t="str"/>
    </x:row>
    <x:row r="15">
      <x:c r="A15" s="42" t="str">
        <x:v>US-MEM-007</x:v>
      </x:c>
      <x:c r="B15" s="42" t="str">
        <x:v>MEM-007</x:v>
      </x:c>
      <x:c r="C15" s="42" t="str">
        <x:v>Membres et entreprises</x:v>
      </x:c>
      <x:c r="D15" s="42" t="str">
        <x:v>Permettre une vue consolidée groupe de sociétés</x:v>
      </x:c>
      <x:c r="E15" s="42" t="str">
        <x:v>Gestionnaire membres</x:v>
      </x:c>
      <x:c r="F15" s="42" t="str">
        <x:v>En tant que gestionnaire membres, je veux permettre une vue consolidée groupe de sociétés. afin de garantir le fonctionnement attendu du module membres et entreprises.</x:v>
      </x:c>
      <x:c r="G15" s="42" t="str">
        <x:v>Conformité métier, qualité de service et traçabilité.</x:v>
      </x:c>
      <x:c r="H15" s="42" t="str">
        <x:v>Could</x:v>
      </x:c>
      <x:c r="I15" s="42" t="str">
        <x:v>R1 - PoC bout en bout</x:v>
      </x:c>
      <x:c r="J15" s="42" t="str">
        <x:v>À faire</x:v>
      </x:c>
      <x:c r="K15" s="42" t="str">
        <x:v>Décisions ouvertes applicables; socle R0</x:v>
      </x:c>
      <x:c r="L15" s="42" t="str">
        <x:v>MEMBER.WRITE</x:v>
      </x:c>
      <x:c r="M15" s="42" t="str">
        <x:v>member.organization; member.membership</x:v>
      </x:c>
      <x:c r="N15" s="42" t="str">
        <x:v>/api/v1/organizations</x:v>
      </x:c>
      <x:c r="O15" s="42" t="str">
        <x:v>Les soldes et contributions sont agrégés sans fusionner les comptes juridiques.</x:v>
      </x:c>
      <x:c r="P15" s="42" t="str">
        <x:v>Obligatoire</x:v>
      </x:c>
      <x:c r="Q15" s="42" t="str">
        <x:v>Confidentiel</x:v>
      </x:c>
      <x:c r="R15" s="42" t="str">
        <x:v>Unitaire; intégration; autorisation; audit</x:v>
      </x:c>
      <x:c r="S15" s="42" t="n">
        <x:v>3</x:v>
      </x:c>
      <x:c r="T15" s="42" t="str">
        <x:v>À affecter</x:v>
      </x:c>
      <x:c r="U15" s="42" t="str"/>
    </x:row>
    <x:row r="16">
      <x:c r="A16" s="42" t="str">
        <x:v>US-MEM-008</x:v>
      </x:c>
      <x:c r="B16" s="42" t="str">
        <x:v>MEM-008</x:v>
      </x:c>
      <x:c r="C16" s="42" t="str">
        <x:v>Membres et entreprises</x:v>
      </x:c>
      <x:c r="D16" s="42" t="str">
        <x:v>Exporter la fiche membre complète selon les droits</x:v>
      </x:c>
      <x:c r="E16" s="42" t="str">
        <x:v>Gestionnaire membres</x:v>
      </x:c>
      <x:c r="F16" s="42" t="str">
        <x:v>En tant que gestionnaire membres, je veux exporter la fiche membre complète selon les droits. afin de garantir le fonctionnement attendu du module membres et entreprises.</x:v>
      </x:c>
      <x:c r="G16" s="42" t="str">
        <x:v>Conformité métier, qualité de service et traçabilité.</x:v>
      </x:c>
      <x:c r="H16" s="42" t="str">
        <x:v>Must</x:v>
      </x:c>
      <x:c r="I16" s="42" t="str">
        <x:v>R1 - PoC bout en bout</x:v>
      </x:c>
      <x:c r="J16" s="42" t="str">
        <x:v>À faire</x:v>
      </x:c>
      <x:c r="K16" s="42" t="str">
        <x:v>Décisions ouvertes applicables; socle R0</x:v>
      </x:c>
      <x:c r="L16" s="42" t="str">
        <x:v>MEMBER.WRITE</x:v>
      </x:c>
      <x:c r="M16" s="42" t="str">
        <x:v>member.organization; member.membership</x:v>
      </x:c>
      <x:c r="N16" s="42" t="str">
        <x:v>/api/v1/organizations</x:v>
      </x:c>
      <x:c r="O16" s="42" t="str">
        <x:v>PDF horodaté et journalisé, données masquées selon le rôle.</x:v>
      </x:c>
      <x:c r="P16" s="42" t="str">
        <x:v>Obligatoire</x:v>
      </x:c>
      <x:c r="Q16" s="42" t="str">
        <x:v>Confidentiel</x:v>
      </x:c>
      <x:c r="R16" s="42" t="str">
        <x:v>Unitaire; intégration; autorisation; audit</x:v>
      </x:c>
      <x:c r="S16" s="42" t="n">
        <x:v>8</x:v>
      </x:c>
      <x:c r="T16" s="42" t="str">
        <x:v>À affecter</x:v>
      </x:c>
      <x:c r="U16" s="42" t="str"/>
    </x:row>
    <x:row r="17">
      <x:c r="A17" s="42" t="str">
        <x:v>US-ENR-001</x:v>
      </x:c>
      <x:c r="B17" s="42" t="str">
        <x:v>ENR-001</x:v>
      </x:c>
      <x:c r="C17" s="42" t="str">
        <x:v>Enrôlement et adhésion</x:v>
      </x:c>
      <x:c r="D17" s="42" t="str">
        <x:v>Proposer des formulaires adaptatifs selon forme juridique et catégorie</x:v>
      </x:c>
      <x:c r="E17" s="42" t="str">
        <x:v>Validateur des enrôlements</x:v>
      </x:c>
      <x:c r="F17" s="42" t="str">
        <x:v>En tant que validateur des enrôlements, je veux proposer des formulaires adaptatifs selon forme juridique et catégorie. afin de garantir le fonctionnement attendu du module enrôlement et adhésion.</x:v>
      </x:c>
      <x:c r="G17" s="42" t="str">
        <x:v>Conformité métier, qualité de service et traçabilité.</x:v>
      </x:c>
      <x:c r="H17" s="42" t="str">
        <x:v>Must</x:v>
      </x:c>
      <x:c r="I17" s="42" t="str">
        <x:v>R1 - PoC bout en bout</x:v>
      </x:c>
      <x:c r="J17" s="42" t="str">
        <x:v>À faire</x:v>
      </x:c>
      <x:c r="K17" s="42" t="str">
        <x:v>Décisions ouvertes applicables; socle R0</x:v>
      </x:c>
      <x:c r="L17" s="42" t="str">
        <x:v>ENROLLMENT.APPROVE</x:v>
      </x:c>
      <x:c r="M17" s="42" t="str">
        <x:v>enrollment.enrollment_case; enrollment.enrollment_decision</x:v>
      </x:c>
      <x:c r="N17" s="42" t="str">
        <x:v>/api/v1/enrollments</x:v>
      </x:c>
      <x:c r="O17" s="42" t="str">
        <x:v>Les champs et pièces varient automatiquement selon le profil.</x:v>
      </x:c>
      <x:c r="P17" s="42" t="str">
        <x:v>Obligatoire</x:v>
      </x:c>
      <x:c r="Q17" s="42" t="str">
        <x:v>Confidentiel</x:v>
      </x:c>
      <x:c r="R17" s="42" t="str">
        <x:v>Unitaire; intégration; autorisation; audit</x:v>
      </x:c>
      <x:c r="S17" s="42" t="n">
        <x:v>8</x:v>
      </x:c>
      <x:c r="T17" s="42" t="str">
        <x:v>À affecter</x:v>
      </x:c>
      <x:c r="U17" s="42" t="str"/>
    </x:row>
    <x:row r="18">
      <x:c r="A18" s="42" t="str">
        <x:v>US-ENR-002</x:v>
      </x:c>
      <x:c r="B18" s="42" t="str">
        <x:v>ENR-002</x:v>
      </x:c>
      <x:c r="C18" s="42" t="str">
        <x:v>Enrôlement et adhésion</x:v>
      </x:c>
      <x:c r="D18" s="42" t="str">
        <x:v>Sauvegarder un brouillon et reprendre sur un autre appareil</x:v>
      </x:c>
      <x:c r="E18" s="42" t="str">
        <x:v>Validateur des enrôlements</x:v>
      </x:c>
      <x:c r="F18" s="42" t="str">
        <x:v>En tant que validateur des enrôlements, je veux sauvegarder un brouillon et reprendre sur un autre appareil. afin de garantir le fonctionnement attendu du module enrôlement et adhésion.</x:v>
      </x:c>
      <x:c r="G18" s="42" t="str">
        <x:v>Conformité métier, qualité de service et traçabilité.</x:v>
      </x:c>
      <x:c r="H18" s="42" t="str">
        <x:v>Must</x:v>
      </x:c>
      <x:c r="I18" s="42" t="str">
        <x:v>R1 - PoC bout en bout</x:v>
      </x:c>
      <x:c r="J18" s="42" t="str">
        <x:v>À faire</x:v>
      </x:c>
      <x:c r="K18" s="42" t="str">
        <x:v>Décisions ouvertes applicables; socle R0</x:v>
      </x:c>
      <x:c r="L18" s="42" t="str">
        <x:v>ENROLLMENT.APPROVE</x:v>
      </x:c>
      <x:c r="M18" s="42" t="str">
        <x:v>enrollment.enrollment_case; enrollment.enrollment_decision</x:v>
      </x:c>
      <x:c r="N18" s="42" t="str">
        <x:v>/api/v1/enrollments</x:v>
      </x:c>
      <x:c r="O18" s="42" t="str">
        <x:v>Le demandeur récupère son dossier après authentification OTP.</x:v>
      </x:c>
      <x:c r="P18" s="42" t="str">
        <x:v>Obligatoire</x:v>
      </x:c>
      <x:c r="Q18" s="42" t="str">
        <x:v>Confidentiel</x:v>
      </x:c>
      <x:c r="R18" s="42" t="str">
        <x:v>Unitaire; intégration; autorisation; audit</x:v>
      </x:c>
      <x:c r="S18" s="42" t="n">
        <x:v>8</x:v>
      </x:c>
      <x:c r="T18" s="42" t="str">
        <x:v>À affecter</x:v>
      </x:c>
      <x:c r="U18" s="42" t="str"/>
    </x:row>
    <x:row r="19">
      <x:c r="A19" s="42" t="str">
        <x:v>US-ENR-003</x:v>
      </x:c>
      <x:c r="B19" s="42" t="str">
        <x:v>ENR-003</x:v>
      </x:c>
      <x:c r="C19" s="42" t="str">
        <x:v>Enrôlement et adhésion</x:v>
      </x:c>
      <x:c r="D19" s="42" t="str">
        <x:v>Capturer RCCM, NIF et contacts avec contrôle de format</x:v>
      </x:c>
      <x:c r="E19" s="42" t="str">
        <x:v>Validateur des enrôlements</x:v>
      </x:c>
      <x:c r="F19" s="42" t="str">
        <x:v>En tant que validateur des enrôlements, je veux capturer RCCM, NIF et contacts avec contrôle de format. afin de garantir le fonctionnement attendu du module enrôlement et adhésion.</x:v>
      </x:c>
      <x:c r="G19" s="42" t="str">
        <x:v>Conformité métier, qualité de service et traçabilité.</x:v>
      </x:c>
      <x:c r="H19" s="42" t="str">
        <x:v>Must</x:v>
      </x:c>
      <x:c r="I19" s="42" t="str">
        <x:v>R1 - PoC bout en bout</x:v>
      </x:c>
      <x:c r="J19" s="42" t="str">
        <x:v>À faire</x:v>
      </x:c>
      <x:c r="K19" s="42" t="str">
        <x:v>Décisions ouvertes applicables; socle R0</x:v>
      </x:c>
      <x:c r="L19" s="42" t="str">
        <x:v>ENROLLMENT.APPROVE</x:v>
      </x:c>
      <x:c r="M19" s="42" t="str">
        <x:v>enrollment.enrollment_case; enrollment.enrollment_decision</x:v>
      </x:c>
      <x:c r="N19" s="42" t="str">
        <x:v>/api/v1/enrollments</x:v>
      </x:c>
      <x:c r="O19" s="42" t="str">
        <x:v>Les formats invalides sont refusés avant soumission.</x:v>
      </x:c>
      <x:c r="P19" s="42" t="str">
        <x:v>Obligatoire</x:v>
      </x:c>
      <x:c r="Q19" s="42" t="str">
        <x:v>Confidentiel</x:v>
      </x:c>
      <x:c r="R19" s="42" t="str">
        <x:v>Unitaire; intégration; autorisation; audit</x:v>
      </x:c>
      <x:c r="S19" s="42" t="n">
        <x:v>8</x:v>
      </x:c>
      <x:c r="T19" s="42" t="str">
        <x:v>À affecter</x:v>
      </x:c>
      <x:c r="U19" s="42" t="str"/>
    </x:row>
    <x:row r="20">
      <x:c r="A20" s="42" t="str">
        <x:v>US-ENR-004</x:v>
      </x:c>
      <x:c r="B20" s="42" t="str">
        <x:v>ENR-004</x:v>
      </x:c>
      <x:c r="C20" s="42" t="str">
        <x:v>Enrôlement et adhésion</x:v>
      </x:c>
      <x:c r="D20" s="42" t="str">
        <x:v>Gérer les pièces obligatoires, facultatives et conditionnelles</x:v>
      </x:c>
      <x:c r="E20" s="42" t="str">
        <x:v>Validateur des enrôlements</x:v>
      </x:c>
      <x:c r="F20" s="42" t="str">
        <x:v>En tant que validateur des enrôlements, je veux gérer les pièces obligatoires, facultatives et conditionnelles. afin de garantir le fonctionnement attendu du module enrôlement et adhésion.</x:v>
      </x:c>
      <x:c r="G20" s="42" t="str">
        <x:v>Conformité métier, qualité de service et traçabilité.</x:v>
      </x:c>
      <x:c r="H20" s="42" t="str">
        <x:v>Must</x:v>
      </x:c>
      <x:c r="I20" s="42" t="str">
        <x:v>R1 - PoC bout en bout</x:v>
      </x:c>
      <x:c r="J20" s="42" t="str">
        <x:v>À faire</x:v>
      </x:c>
      <x:c r="K20" s="42" t="str">
        <x:v>Décisions ouvertes applicables; socle R0</x:v>
      </x:c>
      <x:c r="L20" s="42" t="str">
        <x:v>ENROLLMENT.APPROVE</x:v>
      </x:c>
      <x:c r="M20" s="42" t="str">
        <x:v>enrollment.enrollment_case; enrollment.enrollment_decision</x:v>
      </x:c>
      <x:c r="N20" s="42" t="str">
        <x:v>/api/v1/enrollments</x:v>
      </x:c>
      <x:c r="O20" s="42" t="str">
        <x:v>La soumission est bloquée si une pièce requise manque.</x:v>
      </x:c>
      <x:c r="P20" s="42" t="str">
        <x:v>Obligatoire</x:v>
      </x:c>
      <x:c r="Q20" s="42" t="str">
        <x:v>Confidentiel</x:v>
      </x:c>
      <x:c r="R20" s="42" t="str">
        <x:v>Unitaire; intégration; autorisation; audit</x:v>
      </x:c>
      <x:c r="S20" s="42" t="n">
        <x:v>8</x:v>
      </x:c>
      <x:c r="T20" s="42" t="str">
        <x:v>À affecter</x:v>
      </x:c>
      <x:c r="U20" s="42" t="str"/>
    </x:row>
    <x:row r="21">
      <x:c r="A21" s="42" t="str">
        <x:v>US-ENR-005</x:v>
      </x:c>
      <x:c r="B21" s="42" t="str">
        <x:v>ENR-005</x:v>
      </x:c>
      <x:c r="C21" s="42" t="str">
        <x:v>Enrôlement et adhésion</x:v>
      </x:c>
      <x:c r="D21" s="42" t="str">
        <x:v>Permettre au contrôleur de demander un complément avec motif</x:v>
      </x:c>
      <x:c r="E21" s="42" t="str">
        <x:v>Validateur des enrôlements</x:v>
      </x:c>
      <x:c r="F21" s="42" t="str">
        <x:v>En tant que validateur des enrôlements, je veux permettre au contrôleur de demander un complément avec motif. afin de garantir le fonctionnement attendu du module enrôlement et adhésion.</x:v>
      </x:c>
      <x:c r="G21" s="42" t="str">
        <x:v>Conformité métier, qualité de service et traçabilité.</x:v>
      </x:c>
      <x:c r="H21" s="42" t="str">
        <x:v>Must</x:v>
      </x:c>
      <x:c r="I21" s="42" t="str">
        <x:v>R1 - PoC bout en bout</x:v>
      </x:c>
      <x:c r="J21" s="42" t="str">
        <x:v>À faire</x:v>
      </x:c>
      <x:c r="K21" s="42" t="str">
        <x:v>Décisions ouvertes applicables; socle R0</x:v>
      </x:c>
      <x:c r="L21" s="42" t="str">
        <x:v>ENROLLMENT.APPROVE</x:v>
      </x:c>
      <x:c r="M21" s="42" t="str">
        <x:v>enrollment.enrollment_case; enrollment.enrollment_decision</x:v>
      </x:c>
      <x:c r="N21" s="42" t="str">
        <x:v>/api/v1/enrollments</x:v>
      </x:c>
      <x:c r="O21" s="42" t="str">
        <x:v>Le membre reçoit la liste exacte et une échéance.</x:v>
      </x:c>
      <x:c r="P21" s="42" t="str">
        <x:v>Obligatoire</x:v>
      </x:c>
      <x:c r="Q21" s="42" t="str">
        <x:v>Confidentiel</x:v>
      </x:c>
      <x:c r="R21" s="42" t="str">
        <x:v>Unitaire; intégration; autorisation; audit</x:v>
      </x:c>
      <x:c r="S21" s="42" t="n">
        <x:v>8</x:v>
      </x:c>
      <x:c r="T21" s="42" t="str">
        <x:v>À affecter</x:v>
      </x:c>
      <x:c r="U21" s="42" t="str"/>
    </x:row>
    <x:row r="22">
      <x:c r="A22" s="42" t="str">
        <x:v>US-ENR-006</x:v>
      </x:c>
      <x:c r="B22" s="42" t="str">
        <x:v>ENR-006</x:v>
      </x:c>
      <x:c r="C22" s="42" t="str">
        <x:v>Enrôlement et adhésion</x:v>
      </x:c>
      <x:c r="D22" s="42" t="str">
        <x:v>Tracer le consentement, la version de la politique et l’horodatage</x:v>
      </x:c>
      <x:c r="E22" s="42" t="str">
        <x:v>Validateur des enrôlements</x:v>
      </x:c>
      <x:c r="F22" s="42" t="str">
        <x:v>En tant que validateur des enrôlements, je veux tracer le consentement, la version de la politique et l’horodatage. afin de garantir le fonctionnement attendu du module enrôlement et adhésion.</x:v>
      </x:c>
      <x:c r="G22" s="42" t="str">
        <x:v>Conformité métier, qualité de service et traçabilité.</x:v>
      </x:c>
      <x:c r="H22" s="42" t="str">
        <x:v>Must</x:v>
      </x:c>
      <x:c r="I22" s="42" t="str">
        <x:v>R1 - PoC bout en bout</x:v>
      </x:c>
      <x:c r="J22" s="42" t="str">
        <x:v>À faire</x:v>
      </x:c>
      <x:c r="K22" s="42" t="str">
        <x:v>Décisions ouvertes applicables; socle R0</x:v>
      </x:c>
      <x:c r="L22" s="42" t="str">
        <x:v>ENROLLMENT.APPROVE</x:v>
      </x:c>
      <x:c r="M22" s="42" t="str">
        <x:v>enrollment.enrollment_case; enrollment.enrollment_decision</x:v>
      </x:c>
      <x:c r="N22" s="42" t="str">
        <x:v>/api/v1/enrollments</x:v>
      </x:c>
      <x:c r="O22" s="42" t="str">
        <x:v>La preuve est exportable pour audit.</x:v>
      </x:c>
      <x:c r="P22" s="42" t="str">
        <x:v>Obligatoire</x:v>
      </x:c>
      <x:c r="Q22" s="42" t="str">
        <x:v>Confidentiel</x:v>
      </x:c>
      <x:c r="R22" s="42" t="str">
        <x:v>Unitaire; intégration; autorisation; audit</x:v>
      </x:c>
      <x:c r="S22" s="42" t="n">
        <x:v>8</x:v>
      </x:c>
      <x:c r="T22" s="42" t="str">
        <x:v>À affecter</x:v>
      </x:c>
      <x:c r="U22" s="42" t="str"/>
    </x:row>
    <x:row r="23">
      <x:c r="A23" s="42" t="str">
        <x:v>US-ENR-007</x:v>
      </x:c>
      <x:c r="B23" s="42" t="str">
        <x:v>ENR-007</x:v>
      </x:c>
      <x:c r="C23" s="42" t="str">
        <x:v>Enrôlement et adhésion</x:v>
      </x:c>
      <x:c r="D23" s="42" t="str">
        <x:v>Mesurer le taux de conversion par canal, groupement et campagne</x:v>
      </x:c>
      <x:c r="E23" s="42" t="str">
        <x:v>Validateur des enrôlements</x:v>
      </x:c>
      <x:c r="F23" s="42" t="str">
        <x:v>En tant que validateur des enrôlements, je veux mesurer le taux de conversion par canal, groupement et campagne. afin de garantir le fonctionnement attendu du module enrôlement et adhésion.</x:v>
      </x:c>
      <x:c r="G23" s="42" t="str">
        <x:v>Conformité métier, qualité de service et traçabilité.</x:v>
      </x:c>
      <x:c r="H23" s="42" t="str">
        <x:v>Should</x:v>
      </x:c>
      <x:c r="I23" s="42" t="str">
        <x:v>R1 - PoC bout en bout</x:v>
      </x:c>
      <x:c r="J23" s="42" t="str">
        <x:v>À faire</x:v>
      </x:c>
      <x:c r="K23" s="42" t="str">
        <x:v>Décisions ouvertes applicables; socle R0</x:v>
      </x:c>
      <x:c r="L23" s="42" t="str">
        <x:v>ENROLLMENT.APPROVE</x:v>
      </x:c>
      <x:c r="M23" s="42" t="str">
        <x:v>enrollment.enrollment_case; enrollment.enrollment_decision</x:v>
      </x:c>
      <x:c r="N23" s="42" t="str">
        <x:v>/api/v1/enrollments</x:v>
      </x:c>
      <x:c r="O23" s="42" t="str">
        <x:v>Le tableau de bord présente les étapes d’abandon.</x:v>
      </x:c>
      <x:c r="P23" s="42" t="str">
        <x:v>Obligatoire</x:v>
      </x:c>
      <x:c r="Q23" s="42" t="str">
        <x:v>Confidentiel</x:v>
      </x:c>
      <x:c r="R23" s="42" t="str">
        <x:v>Unitaire; intégration; autorisation; audit</x:v>
      </x:c>
      <x:c r="S23" s="42" t="n">
        <x:v>5</x:v>
      </x:c>
      <x:c r="T23" s="42" t="str">
        <x:v>À affecter</x:v>
      </x:c>
      <x:c r="U23" s="42" t="str"/>
    </x:row>
    <x:row r="24">
      <x:c r="A24" s="42" t="str">
        <x:v>US-ENR-008</x:v>
      </x:c>
      <x:c r="B24" s="42" t="str">
        <x:v>ENR-008</x:v>
      </x:c>
      <x:c r="C24" s="42" t="str">
        <x:v>Enrôlement et adhésion</x:v>
      </x:c>
      <x:c r="D24" s="42" t="str">
        <x:v>Fonctionner en mode faible connectivité</x:v>
      </x:c>
      <x:c r="E24" s="42" t="str">
        <x:v>Validateur des enrôlements</x:v>
      </x:c>
      <x:c r="F24" s="42" t="str">
        <x:v>En tant que validateur des enrôlements, je veux fonctionner en mode faible connectivité. afin de garantir le fonctionnement attendu du module enrôlement et adhésion.</x:v>
      </x:c>
      <x:c r="G24" s="42" t="str">
        <x:v>Conformité métier, qualité de service et traçabilité.</x:v>
      </x:c>
      <x:c r="H24" s="42" t="str">
        <x:v>Must</x:v>
      </x:c>
      <x:c r="I24" s="42" t="str">
        <x:v>R1 - PoC bout en bout</x:v>
      </x:c>
      <x:c r="J24" s="42" t="str">
        <x:v>À faire</x:v>
      </x:c>
      <x:c r="K24" s="42" t="str">
        <x:v>Décisions ouvertes applicables; socle R0</x:v>
      </x:c>
      <x:c r="L24" s="42" t="str">
        <x:v>ENROLLMENT.APPROVE</x:v>
      </x:c>
      <x:c r="M24" s="42" t="str">
        <x:v>enrollment.enrollment_case; enrollment.enrollment_decision</x:v>
      </x:c>
      <x:c r="N24" s="42" t="str">
        <x:v>/api/v1/enrollments</x:v>
      </x:c>
      <x:c r="O24" s="42" t="str">
        <x:v>Compression images, reprise de chargement et synchronisation différée.</x:v>
      </x:c>
      <x:c r="P24" s="42" t="str">
        <x:v>Obligatoire</x:v>
      </x:c>
      <x:c r="Q24" s="42" t="str">
        <x:v>Confidentiel</x:v>
      </x:c>
      <x:c r="R24" s="42" t="str">
        <x:v>Unitaire; intégration; autorisation; audit</x:v>
      </x:c>
      <x:c r="S24" s="42" t="n">
        <x:v>8</x:v>
      </x:c>
      <x:c r="T24" s="42" t="str">
        <x:v>À affecter</x:v>
      </x:c>
      <x:c r="U24" s="42" t="str"/>
    </x:row>
    <x:row r="25">
      <x:c r="A25" s="42" t="str">
        <x:v>US-COT-001</x:v>
      </x:c>
      <x:c r="B25" s="42" t="str">
        <x:v>COT-001</x:v>
      </x:c>
      <x:c r="C25" s="42" t="str">
        <x:v>Cotisations et échéanciers</x:v>
      </x:c>
      <x:c r="D25" s="42" t="str">
        <x:v>Générer automatiquement les appels selon l’exercice et le barème</x:v>
      </x:c>
      <x:c r="E25" s="42" t="str">
        <x:v>Direction financière</x:v>
      </x:c>
      <x:c r="F25" s="42" t="str">
        <x:v>En tant que direction financière, je veux générer automatiquement les appels selon l’exercice et le barème. afin de garantir le fonctionnement attendu du module cotisations et échéanciers.</x:v>
      </x:c>
      <x:c r="G25" s="42" t="str">
        <x:v>Conformité métier, qualité de service et traçabilité.</x:v>
      </x:c>
      <x:c r="H25" s="42" t="str">
        <x:v>Must</x:v>
      </x:c>
      <x:c r="I25" s="42" t="str">
        <x:v>R1 - PoC bout en bout</x:v>
      </x:c>
      <x:c r="J25" s="42" t="str">
        <x:v>À faire</x:v>
      </x:c>
      <x:c r="K25" s="42" t="str">
        <x:v>Décisions ouvertes applicables; socle R0</x:v>
      </x:c>
      <x:c r="L25" s="42" t="str">
        <x:v>CONTRIBUTION.READ</x:v>
      </x:c>
      <x:c r="M25" s="42" t="str">
        <x:v>contribution.rate_rule; contribution.contribution_call</x:v>
      </x:c>
      <x:c r="N25" s="42" t="str">
        <x:v>/api/v1/contribution-calls</x:v>
      </x:c>
      <x:c r="O25" s="42" t="str">
        <x:v>Chaque membre éligible reçoit un appel unique et traçable.</x:v>
      </x:c>
      <x:c r="P25" s="42" t="str">
        <x:v>Obligatoire</x:v>
      </x:c>
      <x:c r="Q25" s="42" t="str">
        <x:v>Interne</x:v>
      </x:c>
      <x:c r="R25" s="42" t="str">
        <x:v>Unitaire; intégration; autorisation; audit</x:v>
      </x:c>
      <x:c r="S25" s="42" t="n">
        <x:v>8</x:v>
      </x:c>
      <x:c r="T25" s="42" t="str">
        <x:v>À affecter</x:v>
      </x:c>
      <x:c r="U25" s="42" t="str"/>
    </x:row>
    <x:row r="26">
      <x:c r="A26" s="42" t="str">
        <x:v>US-COT-002</x:v>
      </x:c>
      <x:c r="B26" s="42" t="str">
        <x:v>COT-002</x:v>
      </x:c>
      <x:c r="C26" s="42" t="str">
        <x:v>Cotisations et échéanciers</x:v>
      </x:c>
      <x:c r="D26" s="42" t="str">
        <x:v>Soumettre une campagne d’appels à simulation puis validation</x:v>
      </x:c>
      <x:c r="E26" s="42" t="str">
        <x:v>Direction financière</x:v>
      </x:c>
      <x:c r="F26" s="42" t="str">
        <x:v>En tant que direction financière, je veux soumettre une campagne d’appels à simulation puis validation. afin de garantir le fonctionnement attendu du module cotisations et échéanciers.</x:v>
      </x:c>
      <x:c r="G26" s="42" t="str">
        <x:v>Conformité métier, qualité de service et traçabilité.</x:v>
      </x:c>
      <x:c r="H26" s="42" t="str">
        <x:v>Must</x:v>
      </x:c>
      <x:c r="I26" s="42" t="str">
        <x:v>R1 - PoC bout en bout</x:v>
      </x:c>
      <x:c r="J26" s="42" t="str">
        <x:v>À faire</x:v>
      </x:c>
      <x:c r="K26" s="42" t="str">
        <x:v>Décisions ouvertes applicables; socle R0</x:v>
      </x:c>
      <x:c r="L26" s="42" t="str">
        <x:v>CONTRIBUTION.READ</x:v>
      </x:c>
      <x:c r="M26" s="42" t="str">
        <x:v>contribution.rate_rule; contribution.contribution_call</x:v>
      </x:c>
      <x:c r="N26" s="42" t="str">
        <x:v>/api/v1/contribution-calls</x:v>
      </x:c>
      <x:c r="O26" s="42" t="str">
        <x:v>Le total, les exceptions et écarts sont visibles avant émission.</x:v>
      </x:c>
      <x:c r="P26" s="42" t="str">
        <x:v>Obligatoire</x:v>
      </x:c>
      <x:c r="Q26" s="42" t="str">
        <x:v>Interne</x:v>
      </x:c>
      <x:c r="R26" s="42" t="str">
        <x:v>Unitaire; intégration; autorisation; audit</x:v>
      </x:c>
      <x:c r="S26" s="42" t="n">
        <x:v>8</x:v>
      </x:c>
      <x:c r="T26" s="42" t="str">
        <x:v>À affecter</x:v>
      </x:c>
      <x:c r="U26" s="42" t="str"/>
    </x:row>
    <x:row r="27">
      <x:c r="A27" s="42" t="str">
        <x:v>US-COT-003</x:v>
      </x:c>
      <x:c r="B27" s="42" t="str">
        <x:v>COT-003</x:v>
      </x:c>
      <x:c r="C27" s="42" t="str">
        <x:v>Cotisations et échéanciers</x:v>
      </x:c>
      <x:c r="D27" s="42" t="str">
        <x:v>Émettre l’appel en PDF et via portail, e-mail, SMS ou push</x:v>
      </x:c>
      <x:c r="E27" s="42" t="str">
        <x:v>Direction financière</x:v>
      </x:c>
      <x:c r="F27" s="42" t="str">
        <x:v>En tant que direction financière, je veux émettre l’appel en PDF et via portail, e-mail, SMS ou push. afin de garantir le fonctionnement attendu du module cotisations et échéanciers.</x:v>
      </x:c>
      <x:c r="G27" s="42" t="str">
        <x:v>Conformité métier, qualité de service et traçabilité.</x:v>
      </x:c>
      <x:c r="H27" s="42" t="str">
        <x:v>Must</x:v>
      </x:c>
      <x:c r="I27" s="42" t="str">
        <x:v>R1 - PoC bout en bout</x:v>
      </x:c>
      <x:c r="J27" s="42" t="str">
        <x:v>À faire</x:v>
      </x:c>
      <x:c r="K27" s="42" t="str">
        <x:v>Décisions ouvertes applicables; socle R0</x:v>
      </x:c>
      <x:c r="L27" s="42" t="str">
        <x:v>CONTRIBUTION.READ</x:v>
      </x:c>
      <x:c r="M27" s="42" t="str">
        <x:v>contribution.rate_rule; contribution.contribution_call</x:v>
      </x:c>
      <x:c r="N27" s="42" t="str">
        <x:v>/api/v1/contribution-calls</x:v>
      </x:c>
      <x:c r="O27" s="42" t="str">
        <x:v>L’historique de diffusion indique canal, date et statut.</x:v>
      </x:c>
      <x:c r="P27" s="42" t="str">
        <x:v>Obligatoire</x:v>
      </x:c>
      <x:c r="Q27" s="42" t="str">
        <x:v>Interne</x:v>
      </x:c>
      <x:c r="R27" s="42" t="str">
        <x:v>Unitaire; intégration; autorisation; audit</x:v>
      </x:c>
      <x:c r="S27" s="42" t="n">
        <x:v>8</x:v>
      </x:c>
      <x:c r="T27" s="42" t="str">
        <x:v>À affecter</x:v>
      </x:c>
      <x:c r="U27" s="42" t="str"/>
    </x:row>
    <x:row r="28">
      <x:c r="A28" s="42" t="str">
        <x:v>US-COT-004</x:v>
      </x:c>
      <x:c r="B28" s="42" t="str">
        <x:v>COT-004</x:v>
      </x:c>
      <x:c r="C28" s="42" t="str">
        <x:v>Cotisations et échéanciers</x:v>
      </x:c>
      <x:c r="D28" s="42" t="str">
        <x:v>Gérer les appels complémentaires, avoirs et annulations</x:v>
      </x:c>
      <x:c r="E28" s="42" t="str">
        <x:v>Direction financière</x:v>
      </x:c>
      <x:c r="F28" s="42" t="str">
        <x:v>En tant que direction financière, je veux gérer les appels complémentaires, avoirs et annulations. afin de garantir le fonctionnement attendu du module cotisations et échéanciers.</x:v>
      </x:c>
      <x:c r="G28" s="42" t="str">
        <x:v>Conformité métier, qualité de service et traçabilité.</x:v>
      </x:c>
      <x:c r="H28" s="42" t="str">
        <x:v>Must</x:v>
      </x:c>
      <x:c r="I28" s="42" t="str">
        <x:v>R1 - PoC bout en bout</x:v>
      </x:c>
      <x:c r="J28" s="42" t="str">
        <x:v>À faire</x:v>
      </x:c>
      <x:c r="K28" s="42" t="str">
        <x:v>Décisions ouvertes applicables; socle R0</x:v>
      </x:c>
      <x:c r="L28" s="42" t="str">
        <x:v>CONTRIBUTION.READ</x:v>
      </x:c>
      <x:c r="M28" s="42" t="str">
        <x:v>contribution.rate_rule; contribution.contribution_call</x:v>
      </x:c>
      <x:c r="N28" s="42" t="str">
        <x:v>/api/v1/contribution-calls</x:v>
      </x:c>
      <x:c r="O28" s="42" t="str">
        <x:v>Chaque correction référence l’appel initial et exige un motif.</x:v>
      </x:c>
      <x:c r="P28" s="42" t="str">
        <x:v>Obligatoire</x:v>
      </x:c>
      <x:c r="Q28" s="42" t="str">
        <x:v>Interne</x:v>
      </x:c>
      <x:c r="R28" s="42" t="str">
        <x:v>Unitaire; intégration; autorisation; audit</x:v>
      </x:c>
      <x:c r="S28" s="42" t="n">
        <x:v>8</x:v>
      </x:c>
      <x:c r="T28" s="42" t="str">
        <x:v>À affecter</x:v>
      </x:c>
      <x:c r="U28" s="42" t="str"/>
    </x:row>
    <x:row r="29">
      <x:c r="A29" s="42" t="str">
        <x:v>US-COT-005</x:v>
      </x:c>
      <x:c r="B29" s="42" t="str">
        <x:v>COT-005</x:v>
      </x:c>
      <x:c r="C29" s="42" t="str">
        <x:v>Cotisations et échéanciers</x:v>
      </x:c>
      <x:c r="D29" s="42" t="str">
        <x:v>Gérer les échéanciers et paiements partiels</x:v>
      </x:c>
      <x:c r="E29" s="42" t="str">
        <x:v>Direction financière</x:v>
      </x:c>
      <x:c r="F29" s="42" t="str">
        <x:v>En tant que direction financière, je veux gérer les échéanciers et paiements partiels. afin de garantir le fonctionnement attendu du module cotisations et échéanciers.</x:v>
      </x:c>
      <x:c r="G29" s="42" t="str">
        <x:v>Conformité métier, qualité de service et traçabilité.</x:v>
      </x:c>
      <x:c r="H29" s="42" t="str">
        <x:v>Must</x:v>
      </x:c>
      <x:c r="I29" s="42" t="str">
        <x:v>R1 - PoC bout en bout</x:v>
      </x:c>
      <x:c r="J29" s="42" t="str">
        <x:v>À faire</x:v>
      </x:c>
      <x:c r="K29" s="42" t="str">
        <x:v>Décisions ouvertes applicables; socle R0</x:v>
      </x:c>
      <x:c r="L29" s="42" t="str">
        <x:v>CONTRIBUTION.READ</x:v>
      </x:c>
      <x:c r="M29" s="42" t="str">
        <x:v>contribution.rate_rule; contribution.contribution_call</x:v>
      </x:c>
      <x:c r="N29" s="42" t="str">
        <x:v>/api/v1/contribution-calls</x:v>
      </x:c>
      <x:c r="O29" s="42" t="str">
        <x:v>Le solde et la prochaine échéance sont recalculés en temps réel.</x:v>
      </x:c>
      <x:c r="P29" s="42" t="str">
        <x:v>Obligatoire</x:v>
      </x:c>
      <x:c r="Q29" s="42" t="str">
        <x:v>Interne</x:v>
      </x:c>
      <x:c r="R29" s="42" t="str">
        <x:v>Unitaire; intégration; autorisation; audit</x:v>
      </x:c>
      <x:c r="S29" s="42" t="n">
        <x:v>8</x:v>
      </x:c>
      <x:c r="T29" s="42" t="str">
        <x:v>À affecter</x:v>
      </x:c>
      <x:c r="U29" s="42" t="str"/>
    </x:row>
    <x:row r="30">
      <x:c r="A30" s="42" t="str">
        <x:v>US-COT-006</x:v>
      </x:c>
      <x:c r="B30" s="42" t="str">
        <x:v>COT-006</x:v>
      </x:c>
      <x:c r="C30" s="42" t="str">
        <x:v>Cotisations et échéanciers</x:v>
      </x:c>
      <x:c r="D30" s="42" t="str">
        <x:v>Appliquer automatiquement la période de grâce et les pénalités</x:v>
      </x:c>
      <x:c r="E30" s="42" t="str">
        <x:v>Direction financière</x:v>
      </x:c>
      <x:c r="F30" s="42" t="str">
        <x:v>En tant que direction financière, je veux appliquer automatiquement la période de grâce et les pénalités. afin de garantir le fonctionnement attendu du module cotisations et échéanciers.</x:v>
      </x:c>
      <x:c r="G30" s="42" t="str">
        <x:v>Conformité métier, qualité de service et traçabilité.</x:v>
      </x:c>
      <x:c r="H30" s="42" t="str">
        <x:v>Should</x:v>
      </x:c>
      <x:c r="I30" s="42" t="str">
        <x:v>R1 - PoC bout en bout</x:v>
      </x:c>
      <x:c r="J30" s="42" t="str">
        <x:v>À faire</x:v>
      </x:c>
      <x:c r="K30" s="42" t="str">
        <x:v>Décisions ouvertes applicables; socle R0</x:v>
      </x:c>
      <x:c r="L30" s="42" t="str">
        <x:v>CONTRIBUTION.READ</x:v>
      </x:c>
      <x:c r="M30" s="42" t="str">
        <x:v>contribution.rate_rule; contribution.contribution_call</x:v>
      </x:c>
      <x:c r="N30" s="42" t="str">
        <x:v>/api/v1/contribution-calls</x:v>
      </x:c>
      <x:c r="O30" s="42" t="str">
        <x:v>Les règles sont versionnées et visibles dans le détail de calcul.</x:v>
      </x:c>
      <x:c r="P30" s="42" t="str">
        <x:v>Obligatoire</x:v>
      </x:c>
      <x:c r="Q30" s="42" t="str">
        <x:v>Interne</x:v>
      </x:c>
      <x:c r="R30" s="42" t="str">
        <x:v>Unitaire; intégration; autorisation; audit</x:v>
      </x:c>
      <x:c r="S30" s="42" t="n">
        <x:v>5</x:v>
      </x:c>
      <x:c r="T30" s="42" t="str">
        <x:v>À affecter</x:v>
      </x:c>
      <x:c r="U30" s="42" t="str"/>
    </x:row>
    <x:row r="31">
      <x:c r="A31" s="42" t="str">
        <x:v>US-COT-007</x:v>
      </x:c>
      <x:c r="B31" s="42" t="str">
        <x:v>COT-007</x:v>
      </x:c>
      <x:c r="C31" s="42" t="str">
        <x:v>Cotisations et échéanciers</x:v>
      </x:c>
      <x:c r="D31" s="42" t="str">
        <x:v>Bloquer la modification d’un appel déjà payé sans workflow d’annulation</x:v>
      </x:c>
      <x:c r="E31" s="42" t="str">
        <x:v>Direction financière</x:v>
      </x:c>
      <x:c r="F31" s="42" t="str">
        <x:v>En tant que direction financière, je veux bloquer la modification d’un appel déjà payé sans workflow d’annulation. afin de garantir le fonctionnement attendu du module cotisations et échéanciers.</x:v>
      </x:c>
      <x:c r="G31" s="42" t="str">
        <x:v>Conformité métier, qualité de service et traçabilité.</x:v>
      </x:c>
      <x:c r="H31" s="42" t="str">
        <x:v>Must</x:v>
      </x:c>
      <x:c r="I31" s="42" t="str">
        <x:v>R1 - PoC bout en bout</x:v>
      </x:c>
      <x:c r="J31" s="42" t="str">
        <x:v>À faire</x:v>
      </x:c>
      <x:c r="K31" s="42" t="str">
        <x:v>Décisions ouvertes applicables; socle R0</x:v>
      </x:c>
      <x:c r="L31" s="42" t="str">
        <x:v>CONTRIBUTION.READ</x:v>
      </x:c>
      <x:c r="M31" s="42" t="str">
        <x:v>contribution.rate_rule; contribution.contribution_call</x:v>
      </x:c>
      <x:c r="N31" s="42" t="str">
        <x:v>/api/v1/contribution-calls</x:v>
      </x:c>
      <x:c r="O31" s="42" t="str">
        <x:v>Une opération corrective génère une écriture compensatrice.</x:v>
      </x:c>
      <x:c r="P31" s="42" t="str">
        <x:v>Obligatoire</x:v>
      </x:c>
      <x:c r="Q31" s="42" t="str">
        <x:v>Interne</x:v>
      </x:c>
      <x:c r="R31" s="42" t="str">
        <x:v>Unitaire; intégration; autorisation; audit</x:v>
      </x:c>
      <x:c r="S31" s="42" t="n">
        <x:v>8</x:v>
      </x:c>
      <x:c r="T31" s="42" t="str">
        <x:v>À affecter</x:v>
      </x:c>
      <x:c r="U31" s="42" t="str"/>
    </x:row>
    <x:row r="32">
      <x:c r="A32" s="42" t="str">
        <x:v>US-COT-008</x:v>
      </x:c>
      <x:c r="B32" s="42" t="str">
        <x:v>COT-008</x:v>
      </x:c>
      <x:c r="C32" s="42" t="str">
        <x:v>Cotisations et échéanciers</x:v>
      </x:c>
      <x:c r="D32" s="42" t="str">
        <x:v>Produire une situation de compte certifiable à une date donnée</x:v>
      </x:c>
      <x:c r="E32" s="42" t="str">
        <x:v>Direction financière</x:v>
      </x:c>
      <x:c r="F32" s="42" t="str">
        <x:v>En tant que direction financière, je veux produire une situation de compte certifiable à une date donnée. afin de garantir le fonctionnement attendu du module cotisations et échéanciers.</x:v>
      </x:c>
      <x:c r="G32" s="42" t="str">
        <x:v>Conformité métier, qualité de service et traçabilité.</x:v>
      </x:c>
      <x:c r="H32" s="42" t="str">
        <x:v>Must</x:v>
      </x:c>
      <x:c r="I32" s="42" t="str">
        <x:v>R1 - PoC bout en bout</x:v>
      </x:c>
      <x:c r="J32" s="42" t="str">
        <x:v>À faire</x:v>
      </x:c>
      <x:c r="K32" s="42" t="str">
        <x:v>Décisions ouvertes applicables; socle R0</x:v>
      </x:c>
      <x:c r="L32" s="42" t="str">
        <x:v>CONTRIBUTION.READ</x:v>
      </x:c>
      <x:c r="M32" s="42" t="str">
        <x:v>contribution.rate_rule; contribution.contribution_call</x:v>
      </x:c>
      <x:c r="N32" s="42" t="str">
        <x:v>/api/v1/contribution-calls</x:v>
      </x:c>
      <x:c r="O32" s="42" t="str">
        <x:v>Le document restitue appels, paiements, soldes et ajustements.</x:v>
      </x:c>
      <x:c r="P32" s="42" t="str">
        <x:v>Obligatoire</x:v>
      </x:c>
      <x:c r="Q32" s="42" t="str">
        <x:v>Interne</x:v>
      </x:c>
      <x:c r="R32" s="42" t="str">
        <x:v>Unitaire; intégration; autorisation; audit</x:v>
      </x:c>
      <x:c r="S32" s="42" t="n">
        <x:v>8</x:v>
      </x:c>
      <x:c r="T32" s="42" t="str">
        <x:v>À affecter</x:v>
      </x:c>
      <x:c r="U32" s="42" t="str"/>
    </x:row>
    <x:row r="33">
      <x:c r="A33" s="42" t="str">
        <x:v>US-PAY-001</x:v>
      </x:c>
      <x:c r="B33" s="42" t="str">
        <x:v>PAY-001</x:v>
      </x:c>
      <x:c r="C33" s="42" t="str">
        <x:v>Paiements et rapprochement</x:v>
      </x:c>
      <x:c r="D33" s="42" t="str">
        <x:v>Générer une référence de paiement unique et non prédictible</x:v>
      </x:c>
      <x:c r="E33" s="42" t="str">
        <x:v>Comptable CNPM</x:v>
      </x:c>
      <x:c r="F33" s="42" t="str">
        <x:v>En tant que comptable cnpm, je veux générer une référence de paiement unique et non prédictible. afin de garantir le fonctionnement attendu du module paiements et rapprochement.</x:v>
      </x:c>
      <x:c r="G33" s="42" t="str">
        <x:v>Conformité métier, qualité de service et traçabilité.</x:v>
      </x:c>
      <x:c r="H33" s="42" t="str">
        <x:v>Must</x:v>
      </x:c>
      <x:c r="I33" s="42" t="str">
        <x:v>R1 - PoC bout en bout</x:v>
      </x:c>
      <x:c r="J33" s="42" t="str">
        <x:v>À faire</x:v>
      </x:c>
      <x:c r="K33" s="42" t="str">
        <x:v>Décisions ouvertes applicables; socle R0</x:v>
      </x:c>
      <x:c r="L33" s="42" t="str">
        <x:v>PAYMENT.READ</x:v>
      </x:c>
      <x:c r="M33" s="42" t="str">
        <x:v>payment.payment_transaction; payment.reconciliation_case</x:v>
      </x:c>
      <x:c r="N33" s="42" t="str">
        <x:v>/api/v1/payments</x:v>
      </x:c>
      <x:c r="O33" s="42" t="str">
        <x:v>La référence permet d’identifier membre, appel et canal sans exposer d’information sensible.</x:v>
      </x:c>
      <x:c r="P33" s="42" t="str">
        <x:v>Obligatoire</x:v>
      </x:c>
      <x:c r="Q33" s="42" t="str">
        <x:v>Critique</x:v>
      </x:c>
      <x:c r="R33" s="42" t="str">
        <x:v>Unitaire; intégration; autorisation; audit; idempotence; concurrence</x:v>
      </x:c>
      <x:c r="S33" s="42" t="n">
        <x:v>8</x:v>
      </x:c>
      <x:c r="T33" s="42" t="str">
        <x:v>À affecter</x:v>
      </x:c>
      <x:c r="U33" s="42" t="str"/>
    </x:row>
    <x:row r="34">
      <x:c r="A34" s="42" t="str">
        <x:v>US-PAY-002</x:v>
      </x:c>
      <x:c r="B34" s="42" t="str">
        <x:v>PAY-002</x:v>
      </x:c>
      <x:c r="C34" s="42" t="str">
        <x:v>Paiements et rapprochement</x:v>
      </x:c>
      <x:c r="D34" s="42" t="str">
        <x:v>Recevoir les statuts des opérateurs via API sécurisée</x:v>
      </x:c>
      <x:c r="E34" s="42" t="str">
        <x:v>Comptable CNPM</x:v>
      </x:c>
      <x:c r="F34" s="42" t="str">
        <x:v>En tant que comptable cnpm, je veux recevoir les statuts des opérateurs via API sécurisée. afin de garantir le fonctionnement attendu du module paiements et rapprochement.</x:v>
      </x:c>
      <x:c r="G34" s="42" t="str">
        <x:v>Conformité métier, qualité de service et traçabilité.</x:v>
      </x:c>
      <x:c r="H34" s="42" t="str">
        <x:v>Must</x:v>
      </x:c>
      <x:c r="I34" s="42" t="str">
        <x:v>R1 - PoC bout en bout</x:v>
      </x:c>
      <x:c r="J34" s="42" t="str">
        <x:v>À faire</x:v>
      </x:c>
      <x:c r="K34" s="42" t="str">
        <x:v>Décisions ouvertes applicables; socle R0</x:v>
      </x:c>
      <x:c r="L34" s="42" t="str">
        <x:v>PAYMENT.READ</x:v>
      </x:c>
      <x:c r="M34" s="42" t="str">
        <x:v>payment.payment_transaction; payment.reconciliation_case</x:v>
      </x:c>
      <x:c r="N34" s="42" t="str">
        <x:v>/api/v1/payments</x:v>
      </x:c>
      <x:c r="O34" s="42" t="str">
        <x:v>Chaque callback est authentifié, idempotent et journalisé.</x:v>
      </x:c>
      <x:c r="P34" s="42" t="str">
        <x:v>Obligatoire</x:v>
      </x:c>
      <x:c r="Q34" s="42" t="str">
        <x:v>Critique</x:v>
      </x:c>
      <x:c r="R34" s="42" t="str">
        <x:v>Unitaire; intégration; autorisation; audit; idempotence; concurrence</x:v>
      </x:c>
      <x:c r="S34" s="42" t="n">
        <x:v>8</x:v>
      </x:c>
      <x:c r="T34" s="42" t="str">
        <x:v>À affecter</x:v>
      </x:c>
      <x:c r="U34" s="42" t="str"/>
    </x:row>
    <x:row r="35">
      <x:c r="A35" s="42" t="str">
        <x:v>US-PAY-003</x:v>
      </x:c>
      <x:c r="B35" s="42" t="str">
        <x:v>PAY-003</x:v>
      </x:c>
      <x:c r="C35" s="42" t="str">
        <x:v>Paiements et rapprochement</x:v>
      </x:c>
      <x:c r="D35" s="42" t="str">
        <x:v>Importer les relevés bancaires en formats configurables</x:v>
      </x:c>
      <x:c r="E35" s="42" t="str">
        <x:v>Comptable CNPM</x:v>
      </x:c>
      <x:c r="F35" s="42" t="str">
        <x:v>En tant que comptable cnpm, je veux importer les relevés bancaires en formats configurables. afin de garantir le fonctionnement attendu du module paiements et rapprochement.</x:v>
      </x:c>
      <x:c r="G35" s="42" t="str">
        <x:v>Conformité métier, qualité de service et traçabilité.</x:v>
      </x:c>
      <x:c r="H35" s="42" t="str">
        <x:v>Must</x:v>
      </x:c>
      <x:c r="I35" s="42" t="str">
        <x:v>R1 - PoC bout en bout</x:v>
      </x:c>
      <x:c r="J35" s="42" t="str">
        <x:v>À faire</x:v>
      </x:c>
      <x:c r="K35" s="42" t="str">
        <x:v>Décisions ouvertes applicables; socle R0</x:v>
      </x:c>
      <x:c r="L35" s="42" t="str">
        <x:v>PAYMENT.READ</x:v>
      </x:c>
      <x:c r="M35" s="42" t="str">
        <x:v>payment.payment_transaction; payment.reconciliation_case</x:v>
      </x:c>
      <x:c r="N35" s="42" t="str">
        <x:v>/api/v1/payments</x:v>
      </x:c>
      <x:c r="O35" s="42" t="str">
        <x:v>Le système détecte doublons, incohérences et lignes non imputées.</x:v>
      </x:c>
      <x:c r="P35" s="42" t="str">
        <x:v>Obligatoire</x:v>
      </x:c>
      <x:c r="Q35" s="42" t="str">
        <x:v>Critique</x:v>
      </x:c>
      <x:c r="R35" s="42" t="str">
        <x:v>Unitaire; intégration; autorisation; audit; idempotence; concurrence</x:v>
      </x:c>
      <x:c r="S35" s="42" t="n">
        <x:v>8</x:v>
      </x:c>
      <x:c r="T35" s="42" t="str">
        <x:v>À affecter</x:v>
      </x:c>
      <x:c r="U35" s="42" t="str"/>
    </x:row>
    <x:row r="36">
      <x:c r="A36" s="42" t="str">
        <x:v>US-PAY-004</x:v>
      </x:c>
      <x:c r="B36" s="42" t="str">
        <x:v>PAY-004</x:v>
      </x:c>
      <x:c r="C36" s="42" t="str">
        <x:v>Paiements et rapprochement</x:v>
      </x:c>
      <x:c r="D36" s="42" t="str">
        <x:v>Rapprocher automatiquement par référence, montant, date et payeur</x:v>
      </x:c>
      <x:c r="E36" s="42" t="str">
        <x:v>Comptable CNPM</x:v>
      </x:c>
      <x:c r="F36" s="42" t="str">
        <x:v>En tant que comptable cnpm, je veux rapprocher automatiquement par référence, montant, date et payeur. afin de garantir le fonctionnement attendu du module paiements et rapprochement.</x:v>
      </x:c>
      <x:c r="G36" s="42" t="str">
        <x:v>Conformité métier, qualité de service et traçabilité.</x:v>
      </x:c>
      <x:c r="H36" s="42" t="str">
        <x:v>Must</x:v>
      </x:c>
      <x:c r="I36" s="42" t="str">
        <x:v>R1 - PoC bout en bout</x:v>
      </x:c>
      <x:c r="J36" s="42" t="str">
        <x:v>À faire</x:v>
      </x:c>
      <x:c r="K36" s="42" t="str">
        <x:v>Décisions ouvertes applicables; socle R0</x:v>
      </x:c>
      <x:c r="L36" s="42" t="str">
        <x:v>PAYMENT.READ</x:v>
      </x:c>
      <x:c r="M36" s="42" t="str">
        <x:v>payment.payment_transaction; payment.reconciliation_case</x:v>
      </x:c>
      <x:c r="N36" s="42" t="str">
        <x:v>/api/v1/payments</x:v>
      </x:c>
      <x:c r="O36" s="42" t="str">
        <x:v>Un score explique la proposition; le seuil est paramétrable.</x:v>
      </x:c>
      <x:c r="P36" s="42" t="str">
        <x:v>Obligatoire</x:v>
      </x:c>
      <x:c r="Q36" s="42" t="str">
        <x:v>Critique</x:v>
      </x:c>
      <x:c r="R36" s="42" t="str">
        <x:v>Unitaire; intégration; autorisation; audit; idempotence; concurrence</x:v>
      </x:c>
      <x:c r="S36" s="42" t="n">
        <x:v>8</x:v>
      </x:c>
      <x:c r="T36" s="42" t="str">
        <x:v>À affecter</x:v>
      </x:c>
      <x:c r="U36" s="42" t="str"/>
    </x:row>
    <x:row r="37">
      <x:c r="A37" s="42" t="str">
        <x:v>US-PAY-005</x:v>
      </x:c>
      <x:c r="B37" s="42" t="str">
        <x:v>PAY-005</x:v>
      </x:c>
      <x:c r="C37" s="42" t="str">
        <x:v>Paiements et rapprochement</x:v>
      </x:c>
      <x:c r="D37" s="42" t="str">
        <x:v>Présenter une file de rapprochement manuel</x:v>
      </x:c>
      <x:c r="E37" s="42" t="str">
        <x:v>Comptable CNPM</x:v>
      </x:c>
      <x:c r="F37" s="42" t="str">
        <x:v>En tant que comptable cnpm, je veux présenter une file de rapprochement manuel. afin de garantir le fonctionnement attendu du module paiements et rapprochement.</x:v>
      </x:c>
      <x:c r="G37" s="42" t="str">
        <x:v>Conformité métier, qualité de service et traçabilité.</x:v>
      </x:c>
      <x:c r="H37" s="42" t="str">
        <x:v>Must</x:v>
      </x:c>
      <x:c r="I37" s="42" t="str">
        <x:v>R1 - PoC bout en bout</x:v>
      </x:c>
      <x:c r="J37" s="42" t="str">
        <x:v>À faire</x:v>
      </x:c>
      <x:c r="K37" s="42" t="str">
        <x:v>Décisions ouvertes applicables; socle R0</x:v>
      </x:c>
      <x:c r="L37" s="42" t="str">
        <x:v>PAYMENT.READ</x:v>
      </x:c>
      <x:c r="M37" s="42" t="str">
        <x:v>payment.payment_transaction; payment.reconciliation_case</x:v>
      </x:c>
      <x:c r="N37" s="42" t="str">
        <x:v>/api/v1/payments</x:v>
      </x:c>
      <x:c r="O37" s="42" t="str">
        <x:v>L’agent voit preuve, candidat, écarts et historique avant décision.</x:v>
      </x:c>
      <x:c r="P37" s="42" t="str">
        <x:v>Obligatoire</x:v>
      </x:c>
      <x:c r="Q37" s="42" t="str">
        <x:v>Critique</x:v>
      </x:c>
      <x:c r="R37" s="42" t="str">
        <x:v>Unitaire; intégration; autorisation; audit; idempotence; concurrence</x:v>
      </x:c>
      <x:c r="S37" s="42" t="n">
        <x:v>8</x:v>
      </x:c>
      <x:c r="T37" s="42" t="str">
        <x:v>À affecter</x:v>
      </x:c>
      <x:c r="U37" s="42" t="str"/>
    </x:row>
    <x:row r="38">
      <x:c r="A38" s="42" t="str">
        <x:v>US-PAY-006</x:v>
      </x:c>
      <x:c r="B38" s="42" t="str">
        <x:v>PAY-006</x:v>
      </x:c>
      <x:c r="C38" s="42" t="str">
        <x:v>Paiements et rapprochement</x:v>
      </x:c>
      <x:c r="D38" s="42" t="str">
        <x:v>Gérer trop-perçus, sous-paiements, remboursements et rejets</x:v>
      </x:c>
      <x:c r="E38" s="42" t="str">
        <x:v>Comptable CNPM</x:v>
      </x:c>
      <x:c r="F38" s="42" t="str">
        <x:v>En tant que comptable cnpm, je veux gérer trop-perçus, sous-paiements, remboursements et rejets. afin de garantir le fonctionnement attendu du module paiements et rapprochement.</x:v>
      </x:c>
      <x:c r="G38" s="42" t="str">
        <x:v>Conformité métier, qualité de service et traçabilité.</x:v>
      </x:c>
      <x:c r="H38" s="42" t="str">
        <x:v>Must</x:v>
      </x:c>
      <x:c r="I38" s="42" t="str">
        <x:v>R1 - PoC bout en bout</x:v>
      </x:c>
      <x:c r="J38" s="42" t="str">
        <x:v>À faire</x:v>
      </x:c>
      <x:c r="K38" s="42" t="str">
        <x:v>Décisions ouvertes applicables; socle R0</x:v>
      </x:c>
      <x:c r="L38" s="42" t="str">
        <x:v>PAYMENT.READ</x:v>
      </x:c>
      <x:c r="M38" s="42" t="str">
        <x:v>payment.payment_transaction; payment.reconciliation_case</x:v>
      </x:c>
      <x:c r="N38" s="42" t="str">
        <x:v>/api/v1/payments</x:v>
      </x:c>
      <x:c r="O38" s="42" t="str">
        <x:v>Chaque cas suit un workflow comptable et laisse une piste d’audit.</x:v>
      </x:c>
      <x:c r="P38" s="42" t="str">
        <x:v>Obligatoire</x:v>
      </x:c>
      <x:c r="Q38" s="42" t="str">
        <x:v>Critique</x:v>
      </x:c>
      <x:c r="R38" s="42" t="str">
        <x:v>Unitaire; intégration; autorisation; audit; idempotence; concurrence</x:v>
      </x:c>
      <x:c r="S38" s="42" t="n">
        <x:v>8</x:v>
      </x:c>
      <x:c r="T38" s="42" t="str">
        <x:v>À affecter</x:v>
      </x:c>
      <x:c r="U38" s="42" t="str"/>
    </x:row>
    <x:row r="39">
      <x:c r="A39" s="42" t="str">
        <x:v>US-PAY-007</x:v>
      </x:c>
      <x:c r="B39" s="42" t="str">
        <x:v>PAY-007</x:v>
      </x:c>
      <x:c r="C39" s="42" t="str">
        <x:v>Paiements et rapprochement</x:v>
      </x:c>
      <x:c r="D39" s="42" t="str">
        <x:v>Empêcher la double confirmation d’une transaction</x:v>
      </x:c>
      <x:c r="E39" s="42" t="str">
        <x:v>Comptable CNPM</x:v>
      </x:c>
      <x:c r="F39" s="42" t="str">
        <x:v>En tant que comptable cnpm, je veux empêcher la double confirmation d’une transaction. afin de garantir le fonctionnement attendu du module paiements et rapprochement.</x:v>
      </x:c>
      <x:c r="G39" s="42" t="str">
        <x:v>Conformité métier, qualité de service et traçabilité.</x:v>
      </x:c>
      <x:c r="H39" s="42" t="str">
        <x:v>Must</x:v>
      </x:c>
      <x:c r="I39" s="42" t="str">
        <x:v>R1 - PoC bout en bout</x:v>
      </x:c>
      <x:c r="J39" s="42" t="str">
        <x:v>À faire</x:v>
      </x:c>
      <x:c r="K39" s="42" t="str">
        <x:v>Décisions ouvertes applicables; socle R0</x:v>
      </x:c>
      <x:c r="L39" s="42" t="str">
        <x:v>PAYMENT.READ</x:v>
      </x:c>
      <x:c r="M39" s="42" t="str">
        <x:v>payment.payment_transaction; payment.reconciliation_case</x:v>
      </x:c>
      <x:c r="N39" s="42" t="str">
        <x:v>/api/v1/payments</x:v>
      </x:c>
      <x:c r="O39" s="42" t="str">
        <x:v>Les clés d’idempotence et contrôles d’unicité bloquent le doublon.</x:v>
      </x:c>
      <x:c r="P39" s="42" t="str">
        <x:v>Obligatoire</x:v>
      </x:c>
      <x:c r="Q39" s="42" t="str">
        <x:v>Critique</x:v>
      </x:c>
      <x:c r="R39" s="42" t="str">
        <x:v>Unitaire; intégration; autorisation; audit; idempotence; concurrence</x:v>
      </x:c>
      <x:c r="S39" s="42" t="n">
        <x:v>8</x:v>
      </x:c>
      <x:c r="T39" s="42" t="str">
        <x:v>À affecter</x:v>
      </x:c>
      <x:c r="U39" s="42" t="str"/>
    </x:row>
    <x:row r="40">
      <x:c r="A40" s="42" t="str">
        <x:v>US-PAY-008</x:v>
      </x:c>
      <x:c r="B40" s="42" t="str">
        <x:v>PAY-008</x:v>
      </x:c>
      <x:c r="C40" s="42" t="str">
        <x:v>Paiements et rapprochement</x:v>
      </x:c>
      <x:c r="D40" s="42" t="str">
        <x:v>Alerter sur les anomalies et paiements suspects</x:v>
      </x:c>
      <x:c r="E40" s="42" t="str">
        <x:v>Comptable CNPM</x:v>
      </x:c>
      <x:c r="F40" s="42" t="str">
        <x:v>En tant que comptable cnpm, je veux alerter sur les anomalies et paiements suspects. afin de garantir le fonctionnement attendu du module paiements et rapprochement.</x:v>
      </x:c>
      <x:c r="G40" s="42" t="str">
        <x:v>Conformité métier, qualité de service et traçabilité.</x:v>
      </x:c>
      <x:c r="H40" s="42" t="str">
        <x:v>Should</x:v>
      </x:c>
      <x:c r="I40" s="42" t="str">
        <x:v>R1 - PoC bout en bout</x:v>
      </x:c>
      <x:c r="J40" s="42" t="str">
        <x:v>À faire</x:v>
      </x:c>
      <x:c r="K40" s="42" t="str">
        <x:v>Décisions ouvertes applicables; socle R0</x:v>
      </x:c>
      <x:c r="L40" s="42" t="str">
        <x:v>PAYMENT.READ</x:v>
      </x:c>
      <x:c r="M40" s="42" t="str">
        <x:v>payment.payment_transaction; payment.reconciliation_case</x:v>
      </x:c>
      <x:c r="N40" s="42" t="str">
        <x:v>/api/v1/payments</x:v>
      </x:c>
      <x:c r="O40" s="42" t="str">
        <x:v>Règles : montant inhabituel, canal incohérent, répétition, modification de compte.</x:v>
      </x:c>
      <x:c r="P40" s="42" t="str">
        <x:v>Obligatoire</x:v>
      </x:c>
      <x:c r="Q40" s="42" t="str">
        <x:v>Critique</x:v>
      </x:c>
      <x:c r="R40" s="42" t="str">
        <x:v>Unitaire; intégration; autorisation; audit; idempotence; concurrence</x:v>
      </x:c>
      <x:c r="S40" s="42" t="n">
        <x:v>5</x:v>
      </x:c>
      <x:c r="T40" s="42" t="str">
        <x:v>À affecter</x:v>
      </x:c>
      <x:c r="U40" s="42" t="str"/>
    </x:row>
    <x:row r="41">
      <x:c r="A41" s="42" t="str">
        <x:v>US-REC-001</x:v>
      </x:c>
      <x:c r="B41" s="42" t="str">
        <x:v>REC-001</x:v>
      </x:c>
      <x:c r="C41" s="42" t="str">
        <x:v>Reçus et attestations</x:v>
      </x:c>
      <x:c r="D41" s="42" t="str">
        <x:v>Émettre un reçu uniquement après confirmation CNPM</x:v>
      </x:c>
      <x:c r="E41" s="42" t="str">
        <x:v>Direction financière</x:v>
      </x:c>
      <x:c r="F41" s="42" t="str">
        <x:v>En tant que direction financière, je veux émettre un reçu uniquement après confirmation CNPM. afin de garantir le fonctionnement attendu du module reçus et attestations.</x:v>
      </x:c>
      <x:c r="G41" s="42" t="str">
        <x:v>Conformité métier, qualité de service et traçabilité.</x:v>
      </x:c>
      <x:c r="H41" s="42" t="str">
        <x:v>Must</x:v>
      </x:c>
      <x:c r="I41" s="42" t="str">
        <x:v>R1 - PoC bout en bout</x:v>
      </x:c>
      <x:c r="J41" s="42" t="str">
        <x:v>À faire</x:v>
      </x:c>
      <x:c r="K41" s="42" t="str">
        <x:v>Décisions ouvertes applicables; socle R0</x:v>
      </x:c>
      <x:c r="L41" s="42" t="str">
        <x:v>RECEIPT.READ</x:v>
      </x:c>
      <x:c r="M41" s="42" t="str">
        <x:v>receipt.receipt</x:v>
      </x:c>
      <x:c r="N41" s="42" t="str">
        <x:v>/api/v1/receipts</x:v>
      </x:c>
      <x:c r="O41" s="42" t="str">
        <x:v>Aucun reçu officiel ne peut être produit sur paiement non confirmé.</x:v>
      </x:c>
      <x:c r="P41" s="42" t="str">
        <x:v>Obligatoire</x:v>
      </x:c>
      <x:c r="Q41" s="42" t="str">
        <x:v>Critique</x:v>
      </x:c>
      <x:c r="R41" s="42" t="str">
        <x:v>Unitaire; intégration; autorisation; audit; idempotence; concurrence</x:v>
      </x:c>
      <x:c r="S41" s="42" t="n">
        <x:v>8</x:v>
      </x:c>
      <x:c r="T41" s="42" t="str">
        <x:v>À affecter</x:v>
      </x:c>
      <x:c r="U41" s="42" t="str"/>
    </x:row>
    <x:row r="42">
      <x:c r="A42" s="42" t="str">
        <x:v>US-REC-002</x:v>
      </x:c>
      <x:c r="B42" s="42" t="str">
        <x:v>REC-002</x:v>
      </x:c>
      <x:c r="C42" s="42" t="str">
        <x:v>Reçus et attestations</x:v>
      </x:c>
      <x:c r="D42" s="42" t="str">
        <x:v>Inclure numéro unique, membre, montant, période, canal, date et signature</x:v>
      </x:c>
      <x:c r="E42" s="42" t="str">
        <x:v>Direction financière</x:v>
      </x:c>
      <x:c r="F42" s="42" t="str">
        <x:v>En tant que direction financière, je veux inclure numéro unique, membre, montant, période, canal, date et signature. afin de garantir le fonctionnement attendu du module reçus et attestations.</x:v>
      </x:c>
      <x:c r="G42" s="42" t="str">
        <x:v>Conformité métier, qualité de service et traçabilité.</x:v>
      </x:c>
      <x:c r="H42" s="42" t="str">
        <x:v>Must</x:v>
      </x:c>
      <x:c r="I42" s="42" t="str">
        <x:v>R1 - PoC bout en bout</x:v>
      </x:c>
      <x:c r="J42" s="42" t="str">
        <x:v>À faire</x:v>
      </x:c>
      <x:c r="K42" s="42" t="str">
        <x:v>Décisions ouvertes applicables; socle R0</x:v>
      </x:c>
      <x:c r="L42" s="42" t="str">
        <x:v>RECEIPT.READ</x:v>
      </x:c>
      <x:c r="M42" s="42" t="str">
        <x:v>receipt.receipt</x:v>
      </x:c>
      <x:c r="N42" s="42" t="str">
        <x:v>/api/v1/receipts</x:v>
      </x:c>
      <x:c r="O42" s="42" t="str">
        <x:v>Le PDF contient toutes les mentions obligatoires et le logo CNPM.</x:v>
      </x:c>
      <x:c r="P42" s="42" t="str">
        <x:v>Obligatoire</x:v>
      </x:c>
      <x:c r="Q42" s="42" t="str">
        <x:v>Critique</x:v>
      </x:c>
      <x:c r="R42" s="42" t="str">
        <x:v>Unitaire; intégration; autorisation; audit; idempotence; concurrence</x:v>
      </x:c>
      <x:c r="S42" s="42" t="n">
        <x:v>8</x:v>
      </x:c>
      <x:c r="T42" s="42" t="str">
        <x:v>À affecter</x:v>
      </x:c>
      <x:c r="U42" s="42" t="str"/>
    </x:row>
    <x:row r="43">
      <x:c r="A43" s="42" t="str">
        <x:v>US-REC-003</x:v>
      </x:c>
      <x:c r="B43" s="42" t="str">
        <x:v>REC-003</x:v>
      </x:c>
      <x:c r="C43" s="42" t="str">
        <x:v>Reçus et attestations</x:v>
      </x:c>
      <x:c r="D43" s="42" t="str">
        <x:v>Signer électroniquement et apposer un QR de vérification</x:v>
      </x:c>
      <x:c r="E43" s="42" t="str">
        <x:v>Direction financière</x:v>
      </x:c>
      <x:c r="F43" s="42" t="str">
        <x:v>En tant que direction financière, je veux signer électroniquement et apposer un QR de vérification. afin de garantir le fonctionnement attendu du module reçus et attestations.</x:v>
      </x:c>
      <x:c r="G43" s="42" t="str">
        <x:v>Conformité métier, qualité de service et traçabilité.</x:v>
      </x:c>
      <x:c r="H43" s="42" t="str">
        <x:v>Should</x:v>
      </x:c>
      <x:c r="I43" s="42" t="str">
        <x:v>R1 - PoC bout en bout</x:v>
      </x:c>
      <x:c r="J43" s="42" t="str">
        <x:v>À faire</x:v>
      </x:c>
      <x:c r="K43" s="42" t="str">
        <x:v>Décisions ouvertes applicables; socle R0</x:v>
      </x:c>
      <x:c r="L43" s="42" t="str">
        <x:v>RECEIPT.READ</x:v>
      </x:c>
      <x:c r="M43" s="42" t="str">
        <x:v>receipt.receipt</x:v>
      </x:c>
      <x:c r="N43" s="42" t="str">
        <x:v>/api/v1/receipts</x:v>
      </x:c>
      <x:c r="O43" s="42" t="str">
        <x:v>Le QR valide l’authenticité sans exposer de données confidentielles.</x:v>
      </x:c>
      <x:c r="P43" s="42" t="str">
        <x:v>Obligatoire</x:v>
      </x:c>
      <x:c r="Q43" s="42" t="str">
        <x:v>Critique</x:v>
      </x:c>
      <x:c r="R43" s="42" t="str">
        <x:v>Unitaire; intégration; autorisation; audit; idempotence; concurrence</x:v>
      </x:c>
      <x:c r="S43" s="42" t="n">
        <x:v>5</x:v>
      </x:c>
      <x:c r="T43" s="42" t="str">
        <x:v>À affecter</x:v>
      </x:c>
      <x:c r="U43" s="42" t="str"/>
    </x:row>
    <x:row r="44">
      <x:c r="A44" s="42" t="str">
        <x:v>US-REC-004</x:v>
      </x:c>
      <x:c r="B44" s="42" t="str">
        <x:v>REC-004</x:v>
      </x:c>
      <x:c r="C44" s="42" t="str">
        <x:v>Reçus et attestations</x:v>
      </x:c>
      <x:c r="D44" s="42" t="str">
        <x:v>Notifier le membre par portail, e-mail, SMS et/ou push</x:v>
      </x:c>
      <x:c r="E44" s="42" t="str">
        <x:v>Direction financière</x:v>
      </x:c>
      <x:c r="F44" s="42" t="str">
        <x:v>En tant que direction financière, je veux notifier le membre par portail, e-mail, SMS et/ou push. afin de garantir le fonctionnement attendu du module reçus et attestations.</x:v>
      </x:c>
      <x:c r="G44" s="42" t="str">
        <x:v>Conformité métier, qualité de service et traçabilité.</x:v>
      </x:c>
      <x:c r="H44" s="42" t="str">
        <x:v>Must</x:v>
      </x:c>
      <x:c r="I44" s="42" t="str">
        <x:v>R1 - PoC bout en bout</x:v>
      </x:c>
      <x:c r="J44" s="42" t="str">
        <x:v>À faire</x:v>
      </x:c>
      <x:c r="K44" s="42" t="str">
        <x:v>Décisions ouvertes applicables; socle R0</x:v>
      </x:c>
      <x:c r="L44" s="42" t="str">
        <x:v>RECEIPT.READ</x:v>
      </x:c>
      <x:c r="M44" s="42" t="str">
        <x:v>receipt.receipt</x:v>
      </x:c>
      <x:c r="N44" s="42" t="str">
        <x:v>/api/v1/receipts</x:v>
      </x:c>
      <x:c r="O44" s="42" t="str">
        <x:v>Le statut de livraison est conservé.</x:v>
      </x:c>
      <x:c r="P44" s="42" t="str">
        <x:v>Obligatoire</x:v>
      </x:c>
      <x:c r="Q44" s="42" t="str">
        <x:v>Critique</x:v>
      </x:c>
      <x:c r="R44" s="42" t="str">
        <x:v>Unitaire; intégration; autorisation; audit; idempotence; concurrence</x:v>
      </x:c>
      <x:c r="S44" s="42" t="n">
        <x:v>8</x:v>
      </x:c>
      <x:c r="T44" s="42" t="str">
        <x:v>À affecter</x:v>
      </x:c>
      <x:c r="U44" s="42" t="str"/>
    </x:row>
    <x:row r="45">
      <x:c r="A45" s="42" t="str">
        <x:v>US-REC-005</x:v>
      </x:c>
      <x:c r="B45" s="42" t="str">
        <x:v>REC-005</x:v>
      </x:c>
      <x:c r="C45" s="42" t="str">
        <x:v>Reçus et attestations</x:v>
      </x:c>
      <x:c r="D45" s="42" t="str">
        <x:v>Annuler/remplacer un reçu via workflow contrôlé</x:v>
      </x:c>
      <x:c r="E45" s="42" t="str">
        <x:v>Direction financière</x:v>
      </x:c>
      <x:c r="F45" s="42" t="str">
        <x:v>En tant que direction financière, je veux annuler/remplacer un reçu via workflow contrôlé. afin de garantir le fonctionnement attendu du module reçus et attestations.</x:v>
      </x:c>
      <x:c r="G45" s="42" t="str">
        <x:v>Conformité métier, qualité de service et traçabilité.</x:v>
      </x:c>
      <x:c r="H45" s="42" t="str">
        <x:v>Must</x:v>
      </x:c>
      <x:c r="I45" s="42" t="str">
        <x:v>R1 - PoC bout en bout</x:v>
      </x:c>
      <x:c r="J45" s="42" t="str">
        <x:v>À faire</x:v>
      </x:c>
      <x:c r="K45" s="42" t="str">
        <x:v>Décisions ouvertes applicables; socle R0</x:v>
      </x:c>
      <x:c r="L45" s="42" t="str">
        <x:v>RECEIPT.READ</x:v>
      </x:c>
      <x:c r="M45" s="42" t="str">
        <x:v>receipt.receipt</x:v>
      </x:c>
      <x:c r="N45" s="42" t="str">
        <x:v>/api/v1/receipts</x:v>
      </x:c>
      <x:c r="O45" s="42" t="str">
        <x:v>Le reçu annulé reste archivé et la version de remplacement le référence.</x:v>
      </x:c>
      <x:c r="P45" s="42" t="str">
        <x:v>Obligatoire</x:v>
      </x:c>
      <x:c r="Q45" s="42" t="str">
        <x:v>Critique</x:v>
      </x:c>
      <x:c r="R45" s="42" t="str">
        <x:v>Unitaire; intégration; autorisation; audit; idempotence; concurrence</x:v>
      </x:c>
      <x:c r="S45" s="42" t="n">
        <x:v>8</x:v>
      </x:c>
      <x:c r="T45" s="42" t="str">
        <x:v>À affecter</x:v>
      </x:c>
      <x:c r="U45" s="42" t="str"/>
    </x:row>
    <x:row r="46">
      <x:c r="A46" s="42" t="str">
        <x:v>US-REC-006</x:v>
      </x:c>
      <x:c r="B46" s="42" t="str">
        <x:v>REC-006</x:v>
      </x:c>
      <x:c r="C46" s="42" t="str">
        <x:v>Reçus et attestations</x:v>
      </x:c>
      <x:c r="D46" s="42" t="str">
        <x:v>Permettre la vérification publique limitée d’un reçu</x:v>
      </x:c>
      <x:c r="E46" s="42" t="str">
        <x:v>Direction financière</x:v>
      </x:c>
      <x:c r="F46" s="42" t="str">
        <x:v>En tant que direction financière, je veux permettre la vérification publique limitée d’un reçu. afin de garantir le fonctionnement attendu du module reçus et attestations.</x:v>
      </x:c>
      <x:c r="G46" s="42" t="str">
        <x:v>Conformité métier, qualité de service et traçabilité.</x:v>
      </x:c>
      <x:c r="H46" s="42" t="str">
        <x:v>Should</x:v>
      </x:c>
      <x:c r="I46" s="42" t="str">
        <x:v>R1 - PoC bout en bout</x:v>
      </x:c>
      <x:c r="J46" s="42" t="str">
        <x:v>À faire</x:v>
      </x:c>
      <x:c r="K46" s="42" t="str">
        <x:v>Décisions ouvertes applicables; socle R0</x:v>
      </x:c>
      <x:c r="L46" s="42" t="str">
        <x:v>RECEIPT.READ</x:v>
      </x:c>
      <x:c r="M46" s="42" t="str">
        <x:v>receipt.receipt</x:v>
      </x:c>
      <x:c r="N46" s="42" t="str">
        <x:v>/api/v1/receipts</x:v>
      </x:c>
      <x:c r="O46" s="42" t="str">
        <x:v>La page confirme authenticité, statut et montant sans données excessives.</x:v>
      </x:c>
      <x:c r="P46" s="42" t="str">
        <x:v>Obligatoire</x:v>
      </x:c>
      <x:c r="Q46" s="42" t="str">
        <x:v>Critique</x:v>
      </x:c>
      <x:c r="R46" s="42" t="str">
        <x:v>Unitaire; intégration; autorisation; audit; idempotence; concurrence</x:v>
      </x:c>
      <x:c r="S46" s="42" t="n">
        <x:v>5</x:v>
      </x:c>
      <x:c r="T46" s="42" t="str">
        <x:v>À affecter</x:v>
      </x:c>
      <x:c r="U46" s="42" t="str"/>
    </x:row>
    <x:row r="47">
      <x:c r="A47" s="42" t="str">
        <x:v>US-REL-001</x:v>
      </x:c>
      <x:c r="B47" s="42" t="str">
        <x:v>REL-001</x:v>
      </x:c>
      <x:c r="C47" s="42" t="str">
        <x:v>Recouvrement et relances</x:v>
      </x:c>
      <x:c r="D47" s="42" t="str">
        <x:v>Configurer des séquences par événement, délai, canal et segment</x:v>
      </x:c>
      <x:c r="E47" s="42" t="str">
        <x:v>Agent de recouvrement</x:v>
      </x:c>
      <x:c r="F47" s="42" t="str">
        <x:v>En tant que agent de recouvrement, je veux configurer des séquences par événement, délai, canal et segment. afin de garantir le fonctionnement attendu du module recouvrement et relances.</x:v>
      </x:c>
      <x:c r="G47" s="42" t="str">
        <x:v>Conformité métier, qualité de service et traçabilité.</x:v>
      </x:c>
      <x:c r="H47" s="42" t="str">
        <x:v>Must</x:v>
      </x:c>
      <x:c r="I47" s="42" t="str">
        <x:v>R1 - PoC bout en bout</x:v>
      </x:c>
      <x:c r="J47" s="42" t="str">
        <x:v>À faire</x:v>
      </x:c>
      <x:c r="K47" s="42" t="str">
        <x:v>Décisions ouvertes applicables; socle R0</x:v>
      </x:c>
      <x:c r="L47" s="42" t="str">
        <x:v>RECOVERY.ACTION.WRITE</x:v>
      </x:c>
      <x:c r="M47" s="42" t="str">
        <x:v>recovery.recovery_case; recovery.recovery_action</x:v>
      </x:c>
      <x:c r="N47" s="42" t="str">
        <x:v>/api/v1/recovery-cases</x:v>
      </x:c>
      <x:c r="O47" s="42" t="str">
        <x:v>Exemple : J-15 e-mail, J-7 SMS, J+3 appel, J+15 courrier.</x:v>
      </x:c>
      <x:c r="P47" s="42" t="str">
        <x:v>Obligatoire</x:v>
      </x:c>
      <x:c r="Q47" s="42" t="str">
        <x:v>Confidentiel</x:v>
      </x:c>
      <x:c r="R47" s="42" t="str">
        <x:v>Unitaire; intégration; autorisation; audit</x:v>
      </x:c>
      <x:c r="S47" s="42" t="n">
        <x:v>8</x:v>
      </x:c>
      <x:c r="T47" s="42" t="str">
        <x:v>À affecter</x:v>
      </x:c>
      <x:c r="U47" s="42" t="str"/>
    </x:row>
    <x:row r="48">
      <x:c r="A48" s="42" t="str">
        <x:v>US-REL-002</x:v>
      </x:c>
      <x:c r="B48" s="42" t="str">
        <x:v>REL-002</x:v>
      </x:c>
      <x:c r="C48" s="42" t="str">
        <x:v>Recouvrement et relances</x:v>
      </x:c>
      <x:c r="D48" s="42" t="str">
        <x:v>Personnaliser les messages avec données membre et solde</x:v>
      </x:c>
      <x:c r="E48" s="42" t="str">
        <x:v>Agent de recouvrement</x:v>
      </x:c>
      <x:c r="F48" s="42" t="str">
        <x:v>En tant que agent de recouvrement, je veux personnaliser les messages avec données membre et solde. afin de garantir le fonctionnement attendu du module recouvrement et relances.</x:v>
      </x:c>
      <x:c r="G48" s="42" t="str">
        <x:v>Conformité métier, qualité de service et traçabilité.</x:v>
      </x:c>
      <x:c r="H48" s="42" t="str">
        <x:v>Must</x:v>
      </x:c>
      <x:c r="I48" s="42" t="str">
        <x:v>R1 - PoC bout en bout</x:v>
      </x:c>
      <x:c r="J48" s="42" t="str">
        <x:v>À faire</x:v>
      </x:c>
      <x:c r="K48" s="42" t="str">
        <x:v>Décisions ouvertes applicables; socle R0</x:v>
      </x:c>
      <x:c r="L48" s="42" t="str">
        <x:v>RECOVERY.ACTION.WRITE</x:v>
      </x:c>
      <x:c r="M48" s="42" t="str">
        <x:v>recovery.recovery_case; recovery.recovery_action</x:v>
      </x:c>
      <x:c r="N48" s="42" t="str">
        <x:v>/api/v1/recovery-cases</x:v>
      </x:c>
      <x:c r="O48" s="42" t="str">
        <x:v>Les modèles affichent un aperçu avant envoi.</x:v>
      </x:c>
      <x:c r="P48" s="42" t="str">
        <x:v>Obligatoire</x:v>
      </x:c>
      <x:c r="Q48" s="42" t="str">
        <x:v>Confidentiel</x:v>
      </x:c>
      <x:c r="R48" s="42" t="str">
        <x:v>Unitaire; intégration; autorisation; audit</x:v>
      </x:c>
      <x:c r="S48" s="42" t="n">
        <x:v>8</x:v>
      </x:c>
      <x:c r="T48" s="42" t="str">
        <x:v>À affecter</x:v>
      </x:c>
      <x:c r="U48" s="42" t="str"/>
    </x:row>
    <x:row r="49">
      <x:c r="A49" s="42" t="str">
        <x:v>US-REL-003</x:v>
      </x:c>
      <x:c r="B49" s="42" t="str">
        <x:v>REL-003</x:v>
      </x:c>
      <x:c r="C49" s="42" t="str">
        <x:v>Recouvrement et relances</x:v>
      </x:c>
      <x:c r="D49" s="42" t="str">
        <x:v>Gérer les consentements et préférences de communication</x:v>
      </x:c>
      <x:c r="E49" s="42" t="str">
        <x:v>Agent de recouvrement</x:v>
      </x:c>
      <x:c r="F49" s="42" t="str">
        <x:v>En tant que agent de recouvrement, je veux gérer les consentements et préférences de communication. afin de garantir le fonctionnement attendu du module recouvrement et relances.</x:v>
      </x:c>
      <x:c r="G49" s="42" t="str">
        <x:v>Conformité métier, qualité de service et traçabilité.</x:v>
      </x:c>
      <x:c r="H49" s="42" t="str">
        <x:v>Must</x:v>
      </x:c>
      <x:c r="I49" s="42" t="str">
        <x:v>R1 - PoC bout en bout</x:v>
      </x:c>
      <x:c r="J49" s="42" t="str">
        <x:v>À faire</x:v>
      </x:c>
      <x:c r="K49" s="42" t="str">
        <x:v>Décisions ouvertes applicables; socle R0</x:v>
      </x:c>
      <x:c r="L49" s="42" t="str">
        <x:v>RECOVERY.ACTION.WRITE</x:v>
      </x:c>
      <x:c r="M49" s="42" t="str">
        <x:v>recovery.recovery_case; recovery.recovery_action</x:v>
      </x:c>
      <x:c r="N49" s="42" t="str">
        <x:v>/api/v1/recovery-cases</x:v>
      </x:c>
      <x:c r="O49" s="42" t="str">
        <x:v>Le canal non autorisé n’est jamais utilisé, sauf obligation légale.</x:v>
      </x:c>
      <x:c r="P49" s="42" t="str">
        <x:v>Obligatoire</x:v>
      </x:c>
      <x:c r="Q49" s="42" t="str">
        <x:v>Confidentiel</x:v>
      </x:c>
      <x:c r="R49" s="42" t="str">
        <x:v>Unitaire; intégration; autorisation; audit</x:v>
      </x:c>
      <x:c r="S49" s="42" t="n">
        <x:v>8</x:v>
      </x:c>
      <x:c r="T49" s="42" t="str">
        <x:v>À affecter</x:v>
      </x:c>
      <x:c r="U49" s="42" t="str"/>
    </x:row>
    <x:row r="50">
      <x:c r="A50" s="42" t="str">
        <x:v>US-REL-004</x:v>
      </x:c>
      <x:c r="B50" s="42" t="str">
        <x:v>REL-004</x:v>
      </x:c>
      <x:c r="C50" s="42" t="str">
        <x:v>Recouvrement et relances</x:v>
      </x:c>
      <x:c r="D50" s="42" t="str">
        <x:v>Suspendre automatiquement les relances en cas de litige ou promesse active</x:v>
      </x:c>
      <x:c r="E50" s="42" t="str">
        <x:v>Agent de recouvrement</x:v>
      </x:c>
      <x:c r="F50" s="42" t="str">
        <x:v>En tant que agent de recouvrement, je veux suspendre automatiquement les relances en cas de litige ou promesse active. afin de garantir le fonctionnement attendu du module recouvrement et relances.</x:v>
      </x:c>
      <x:c r="G50" s="42" t="str">
        <x:v>Conformité métier, qualité de service et traçabilité.</x:v>
      </x:c>
      <x:c r="H50" s="42" t="str">
        <x:v>Must</x:v>
      </x:c>
      <x:c r="I50" s="42" t="str">
        <x:v>R1 - PoC bout en bout</x:v>
      </x:c>
      <x:c r="J50" s="42" t="str">
        <x:v>À faire</x:v>
      </x:c>
      <x:c r="K50" s="42" t="str">
        <x:v>Décisions ouvertes applicables; socle R0</x:v>
      </x:c>
      <x:c r="L50" s="42" t="str">
        <x:v>RECOVERY.ACTION.WRITE</x:v>
      </x:c>
      <x:c r="M50" s="42" t="str">
        <x:v>recovery.recovery_case; recovery.recovery_action</x:v>
      </x:c>
      <x:c r="N50" s="42" t="str">
        <x:v>/api/v1/recovery-cases</x:v>
      </x:c>
      <x:c r="O50" s="42" t="str">
        <x:v>La suspension est visible et datée.</x:v>
      </x:c>
      <x:c r="P50" s="42" t="str">
        <x:v>Obligatoire</x:v>
      </x:c>
      <x:c r="Q50" s="42" t="str">
        <x:v>Confidentiel</x:v>
      </x:c>
      <x:c r="R50" s="42" t="str">
        <x:v>Unitaire; intégration; autorisation; audit</x:v>
      </x:c>
      <x:c r="S50" s="42" t="n">
        <x:v>8</x:v>
      </x:c>
      <x:c r="T50" s="42" t="str">
        <x:v>À affecter</x:v>
      </x:c>
      <x:c r="U50" s="42" t="str"/>
    </x:row>
    <x:row r="51">
      <x:c r="A51" s="42" t="str">
        <x:v>US-REL-005</x:v>
      </x:c>
      <x:c r="B51" s="42" t="str">
        <x:v>REL-005</x:v>
      </x:c>
      <x:c r="C51" s="42" t="str">
        <x:v>Recouvrement et relances</x:v>
      </x:c>
      <x:c r="D51" s="42" t="str">
        <x:v>Créer et suivre les promesses de paiement</x:v>
      </x:c>
      <x:c r="E51" s="42" t="str">
        <x:v>Agent de recouvrement</x:v>
      </x:c>
      <x:c r="F51" s="42" t="str">
        <x:v>En tant que agent de recouvrement, je veux créer et suivre les promesses de paiement. afin de garantir le fonctionnement attendu du module recouvrement et relances.</x:v>
      </x:c>
      <x:c r="G51" s="42" t="str">
        <x:v>Conformité métier, qualité de service et traçabilité.</x:v>
      </x:c>
      <x:c r="H51" s="42" t="str">
        <x:v>Must</x:v>
      </x:c>
      <x:c r="I51" s="42" t="str">
        <x:v>R1 - PoC bout en bout</x:v>
      </x:c>
      <x:c r="J51" s="42" t="str">
        <x:v>À faire</x:v>
      </x:c>
      <x:c r="K51" s="42" t="str">
        <x:v>Décisions ouvertes applicables; socle R0</x:v>
      </x:c>
      <x:c r="L51" s="42" t="str">
        <x:v>RECOVERY.ACTION.WRITE</x:v>
      </x:c>
      <x:c r="M51" s="42" t="str">
        <x:v>recovery.recovery_case; recovery.recovery_action</x:v>
      </x:c>
      <x:c r="N51" s="42" t="str">
        <x:v>/api/v1/recovery-cases</x:v>
      </x:c>
      <x:c r="O51" s="42" t="str">
        <x:v>Montant, date, commentaire et statut tenu/non tenu sont obligatoires.</x:v>
      </x:c>
      <x:c r="P51" s="42" t="str">
        <x:v>Obligatoire</x:v>
      </x:c>
      <x:c r="Q51" s="42" t="str">
        <x:v>Confidentiel</x:v>
      </x:c>
      <x:c r="R51" s="42" t="str">
        <x:v>Unitaire; intégration; autorisation; audit</x:v>
      </x:c>
      <x:c r="S51" s="42" t="n">
        <x:v>8</x:v>
      </x:c>
      <x:c r="T51" s="42" t="str">
        <x:v>À affecter</x:v>
      </x:c>
      <x:c r="U51" s="42" t="str"/>
    </x:row>
    <x:row r="52">
      <x:c r="A52" s="42" t="str">
        <x:v>US-REL-006</x:v>
      </x:c>
      <x:c r="B52" s="42" t="str">
        <x:v>REL-006</x:v>
      </x:c>
      <x:c r="C52" s="42" t="str">
        <x:v>Recouvrement et relances</x:v>
      </x:c>
      <x:c r="D52" s="42" t="str">
        <x:v>Planifier appels, visites et rendez-vous</x:v>
      </x:c>
      <x:c r="E52" s="42" t="str">
        <x:v>Agent de recouvrement</x:v>
      </x:c>
      <x:c r="F52" s="42" t="str">
        <x:v>En tant que agent de recouvrement, je veux planifier appels, visites et rendez-vous. afin de garantir le fonctionnement attendu du module recouvrement et relances.</x:v>
      </x:c>
      <x:c r="G52" s="42" t="str">
        <x:v>Conformité métier, qualité de service et traçabilité.</x:v>
      </x:c>
      <x:c r="H52" s="42" t="str">
        <x:v>Should</x:v>
      </x:c>
      <x:c r="I52" s="42" t="str">
        <x:v>R1 - PoC bout en bout</x:v>
      </x:c>
      <x:c r="J52" s="42" t="str">
        <x:v>À faire</x:v>
      </x:c>
      <x:c r="K52" s="42" t="str">
        <x:v>Décisions ouvertes applicables; socle R0</x:v>
      </x:c>
      <x:c r="L52" s="42" t="str">
        <x:v>RECOVERY.ACTION.WRITE</x:v>
      </x:c>
      <x:c r="M52" s="42" t="str">
        <x:v>recovery.recovery_case; recovery.recovery_action</x:v>
      </x:c>
      <x:c r="N52" s="42" t="str">
        <x:v>/api/v1/recovery-cases</x:v>
      </x:c>
      <x:c r="O52" s="42" t="str">
        <x:v>Les tâches apparaissent dans l’agenda et le portefeuille de l’agent.</x:v>
      </x:c>
      <x:c r="P52" s="42" t="str">
        <x:v>Obligatoire</x:v>
      </x:c>
      <x:c r="Q52" s="42" t="str">
        <x:v>Confidentiel</x:v>
      </x:c>
      <x:c r="R52" s="42" t="str">
        <x:v>Unitaire; intégration; autorisation; audit</x:v>
      </x:c>
      <x:c r="S52" s="42" t="n">
        <x:v>5</x:v>
      </x:c>
      <x:c r="T52" s="42" t="str">
        <x:v>À affecter</x:v>
      </x:c>
      <x:c r="U52" s="42" t="str"/>
    </x:row>
    <x:row r="53">
      <x:c r="A53" s="42" t="str">
        <x:v>US-REL-007</x:v>
      </x:c>
      <x:c r="B53" s="42" t="str">
        <x:v>REL-007</x:v>
      </x:c>
      <x:c r="C53" s="42" t="str">
        <x:v>Recouvrement et relances</x:v>
      </x:c>
      <x:c r="D53" s="42" t="str">
        <x:v>Mesurer performance par campagne, agent, canal et segment</x:v>
      </x:c>
      <x:c r="E53" s="42" t="str">
        <x:v>Agent de recouvrement</x:v>
      </x:c>
      <x:c r="F53" s="42" t="str">
        <x:v>En tant que agent de recouvrement, je veux mesurer performance par campagne, agent, canal et segment. afin de garantir le fonctionnement attendu du module recouvrement et relances.</x:v>
      </x:c>
      <x:c r="G53" s="42" t="str">
        <x:v>Conformité métier, qualité de service et traçabilité.</x:v>
      </x:c>
      <x:c r="H53" s="42" t="str">
        <x:v>Must</x:v>
      </x:c>
      <x:c r="I53" s="42" t="str">
        <x:v>R1 - PoC bout en bout</x:v>
      </x:c>
      <x:c r="J53" s="42" t="str">
        <x:v>À faire</x:v>
      </x:c>
      <x:c r="K53" s="42" t="str">
        <x:v>Décisions ouvertes applicables; socle R0</x:v>
      </x:c>
      <x:c r="L53" s="42" t="str">
        <x:v>RECOVERY.ACTION.WRITE</x:v>
      </x:c>
      <x:c r="M53" s="42" t="str">
        <x:v>recovery.recovery_case; recovery.recovery_action</x:v>
      </x:c>
      <x:c r="N53" s="42" t="str">
        <x:v>/api/v1/recovery-cases</x:v>
      </x:c>
      <x:c r="O53" s="42" t="str">
        <x:v>Taux de contact, conversion, montant récupéré, coût et délai moyen.</x:v>
      </x:c>
      <x:c r="P53" s="42" t="str">
        <x:v>Obligatoire</x:v>
      </x:c>
      <x:c r="Q53" s="42" t="str">
        <x:v>Confidentiel</x:v>
      </x:c>
      <x:c r="R53" s="42" t="str">
        <x:v>Unitaire; intégration; autorisation; audit</x:v>
      </x:c>
      <x:c r="S53" s="42" t="n">
        <x:v>8</x:v>
      </x:c>
      <x:c r="T53" s="42" t="str">
        <x:v>À affecter</x:v>
      </x:c>
      <x:c r="U53" s="42" t="str"/>
    </x:row>
    <x:row r="54">
      <x:c r="A54" s="42" t="str">
        <x:v>US-REL-008</x:v>
      </x:c>
      <x:c r="B54" s="42" t="str">
        <x:v>REL-008</x:v>
      </x:c>
      <x:c r="C54" s="42" t="str">
        <x:v>Recouvrement et relances</x:v>
      </x:c>
      <x:c r="D54" s="42" t="str">
        <x:v>Proposer une priorisation assistée par score</x:v>
      </x:c>
      <x:c r="E54" s="42" t="str">
        <x:v>Agent de recouvrement</x:v>
      </x:c>
      <x:c r="F54" s="42" t="str">
        <x:v>En tant que agent de recouvrement, je veux proposer une priorisation assistée par score. afin de garantir le fonctionnement attendu du module recouvrement et relances.</x:v>
      </x:c>
      <x:c r="G54" s="42" t="str">
        <x:v>Conformité métier, qualité de service et traçabilité.</x:v>
      </x:c>
      <x:c r="H54" s="42" t="str">
        <x:v>Could</x:v>
      </x:c>
      <x:c r="I54" s="42" t="str">
        <x:v>R1 - PoC bout en bout</x:v>
      </x:c>
      <x:c r="J54" s="42" t="str">
        <x:v>À faire</x:v>
      </x:c>
      <x:c r="K54" s="42" t="str">
        <x:v>Décisions ouvertes applicables; socle R0</x:v>
      </x:c>
      <x:c r="L54" s="42" t="str">
        <x:v>RECOVERY.ACTION.WRITE</x:v>
      </x:c>
      <x:c r="M54" s="42" t="str">
        <x:v>recovery.recovery_case; recovery.recovery_action</x:v>
      </x:c>
      <x:c r="N54" s="42" t="str">
        <x:v>/api/v1/recovery-cases</x:v>
      </x:c>
      <x:c r="O54" s="42" t="str">
        <x:v>Le score est explicable et ne décide pas seul d’une sanction.</x:v>
      </x:c>
      <x:c r="P54" s="42" t="str">
        <x:v>Obligatoire</x:v>
      </x:c>
      <x:c r="Q54" s="42" t="str">
        <x:v>Confidentiel</x:v>
      </x:c>
      <x:c r="R54" s="42" t="str">
        <x:v>Unitaire; intégration; autorisation; audit</x:v>
      </x:c>
      <x:c r="S54" s="42" t="n">
        <x:v>3</x:v>
      </x:c>
      <x:c r="T54" s="42" t="str">
        <x:v>À affecter</x:v>
      </x:c>
      <x:c r="U54" s="42" t="str"/>
    </x:row>
    <x:row r="55">
      <x:c r="A55" s="42" t="str">
        <x:v>US-PRT-001</x:v>
      </x:c>
      <x:c r="B55" s="42" t="str">
        <x:v>PRT-001</x:v>
      </x:c>
      <x:c r="C55" s="42" t="str">
        <x:v>Portail et application membre</x:v>
      </x:c>
      <x:c r="D55" s="42" t="str">
        <x:v>Connexion par mot de passe ou OTP avec 2FA selon risque</x:v>
      </x:c>
      <x:c r="E55" s="42" t="str">
        <x:v>Membre</x:v>
      </x:c>
      <x:c r="F55" s="42" t="str">
        <x:v>En tant que membre, je veux connexion par mot de passe ou OTP avec 2FA selon risque. afin de garantir le fonctionnement attendu du module portail et application membre.</x:v>
      </x:c>
      <x:c r="G55" s="42" t="str">
        <x:v>Conformité métier, qualité de service et traçabilité.</x:v>
      </x:c>
      <x:c r="H55" s="42" t="str">
        <x:v>Must</x:v>
      </x:c>
      <x:c r="I55" s="42" t="str">
        <x:v>R2 - Portail et extension</x:v>
      </x:c>
      <x:c r="J55" s="42" t="str">
        <x:v>À faire</x:v>
      </x:c>
      <x:c r="K55" s="42" t="str">
        <x:v>Décisions ouvertes applicables; socle R0</x:v>
      </x:c>
      <x:c r="L55" s="42" t="str">
        <x:v>PORTAL.SELF_SERVICE</x:v>
      </x:c>
      <x:c r="M55" s="42" t="str">
        <x:v>member.membership; service.request; document.document</x:v>
      </x:c>
      <x:c r="N55" s="42" t="str">
        <x:v>/api/v1/members</x:v>
      </x:c>
      <x:c r="O55" s="42" t="str">
        <x:v>Le membre peut récupérer son accès sans intervention manuelle abusive.</x:v>
      </x:c>
      <x:c r="P55" s="42" t="str">
        <x:v>Obligatoire</x:v>
      </x:c>
      <x:c r="Q55" s="42" t="str">
        <x:v>Confidentiel</x:v>
      </x:c>
      <x:c r="R55" s="42" t="str">
        <x:v>Unitaire; intégration; autorisation; audit; E2E; accessibilité</x:v>
      </x:c>
      <x:c r="S55" s="42" t="n">
        <x:v>8</x:v>
      </x:c>
      <x:c r="T55" s="42" t="str">
        <x:v>À affecter</x:v>
      </x:c>
      <x:c r="U55" s="42" t="str"/>
    </x:row>
    <x:row r="56">
      <x:c r="A56" s="42" t="str">
        <x:v>US-PRT-002</x:v>
      </x:c>
      <x:c r="B56" s="42" t="str">
        <x:v>PRT-002</x:v>
      </x:c>
      <x:c r="C56" s="42" t="str">
        <x:v>Portail et application membre</x:v>
      </x:c>
      <x:c r="D56" s="42" t="str">
        <x:v>Consulter le détail des cotisations et télécharger les appels</x:v>
      </x:c>
      <x:c r="E56" s="42" t="str">
        <x:v>Membre</x:v>
      </x:c>
      <x:c r="F56" s="42" t="str">
        <x:v>En tant que membre, je veux consulter le détail des cotisations et télécharger les appels. afin de garantir le fonctionnement attendu du module portail et application membre.</x:v>
      </x:c>
      <x:c r="G56" s="42" t="str">
        <x:v>Conformité métier, qualité de service et traçabilité.</x:v>
      </x:c>
      <x:c r="H56" s="42" t="str">
        <x:v>Must</x:v>
      </x:c>
      <x:c r="I56" s="42" t="str">
        <x:v>R2 - Portail et extension</x:v>
      </x:c>
      <x:c r="J56" s="42" t="str">
        <x:v>À faire</x:v>
      </x:c>
      <x:c r="K56" s="42" t="str">
        <x:v>Décisions ouvertes applicables; socle R0</x:v>
      </x:c>
      <x:c r="L56" s="42" t="str">
        <x:v>PORTAL.SELF_SERVICE</x:v>
      </x:c>
      <x:c r="M56" s="42" t="str">
        <x:v>member.membership; service.request; document.document</x:v>
      </x:c>
      <x:c r="N56" s="42" t="str">
        <x:v>/api/v1/members</x:v>
      </x:c>
      <x:c r="O56" s="42" t="str">
        <x:v>Les calculs et ajustements sont explicités.</x:v>
      </x:c>
      <x:c r="P56" s="42" t="str">
        <x:v>Obligatoire</x:v>
      </x:c>
      <x:c r="Q56" s="42" t="str">
        <x:v>Confidentiel</x:v>
      </x:c>
      <x:c r="R56" s="42" t="str">
        <x:v>Unitaire; intégration; autorisation; audit; E2E; accessibilité</x:v>
      </x:c>
      <x:c r="S56" s="42" t="n">
        <x:v>8</x:v>
      </x:c>
      <x:c r="T56" s="42" t="str">
        <x:v>À affecter</x:v>
      </x:c>
      <x:c r="U56" s="42" t="str"/>
    </x:row>
    <x:row r="57">
      <x:c r="A57" s="42" t="str">
        <x:v>US-PRT-003</x:v>
      </x:c>
      <x:c r="B57" s="42" t="str">
        <x:v>PRT-003</x:v>
      </x:c>
      <x:c r="C57" s="42" t="str">
        <x:v>Portail et application membre</x:v>
      </x:c>
      <x:c r="D57" s="42" t="str">
        <x:v>Initier un paiement et suivre son statut</x:v>
      </x:c>
      <x:c r="E57" s="42" t="str">
        <x:v>Membre</x:v>
      </x:c>
      <x:c r="F57" s="42" t="str">
        <x:v>En tant que membre, je veux initier un paiement et suivre son statut. afin de garantir le fonctionnement attendu du module portail et application membre.</x:v>
      </x:c>
      <x:c r="G57" s="42" t="str">
        <x:v>Conformité métier, qualité de service et traçabilité.</x:v>
      </x:c>
      <x:c r="H57" s="42" t="str">
        <x:v>Must</x:v>
      </x:c>
      <x:c r="I57" s="42" t="str">
        <x:v>R2 - Portail et extension</x:v>
      </x:c>
      <x:c r="J57" s="42" t="str">
        <x:v>À faire</x:v>
      </x:c>
      <x:c r="K57" s="42" t="str">
        <x:v>Décisions ouvertes applicables; socle R0</x:v>
      </x:c>
      <x:c r="L57" s="42" t="str">
        <x:v>PORTAL.SELF_SERVICE</x:v>
      </x:c>
      <x:c r="M57" s="42" t="str">
        <x:v>member.membership; service.request; document.document</x:v>
      </x:c>
      <x:c r="N57" s="42" t="str">
        <x:v>/api/v1/members</x:v>
      </x:c>
      <x:c r="O57" s="42" t="str">
        <x:v>Le statut est actualisé et les échecs sont expliqués.</x:v>
      </x:c>
      <x:c r="P57" s="42" t="str">
        <x:v>Obligatoire</x:v>
      </x:c>
      <x:c r="Q57" s="42" t="str">
        <x:v>Confidentiel</x:v>
      </x:c>
      <x:c r="R57" s="42" t="str">
        <x:v>Unitaire; intégration; autorisation; audit; E2E; accessibilité</x:v>
      </x:c>
      <x:c r="S57" s="42" t="n">
        <x:v>8</x:v>
      </x:c>
      <x:c r="T57" s="42" t="str">
        <x:v>À affecter</x:v>
      </x:c>
      <x:c r="U57" s="42" t="str"/>
    </x:row>
    <x:row r="58">
      <x:c r="A58" s="42" t="str">
        <x:v>US-PRT-004</x:v>
      </x:c>
      <x:c r="B58" s="42" t="str">
        <x:v>PRT-004</x:v>
      </x:c>
      <x:c r="C58" s="42" t="str">
        <x:v>Portail et application membre</x:v>
      </x:c>
      <x:c r="D58" s="42" t="str">
        <x:v>Télécharger reçus, attestations et carte membre</x:v>
      </x:c>
      <x:c r="E58" s="42" t="str">
        <x:v>Membre</x:v>
      </x:c>
      <x:c r="F58" s="42" t="str">
        <x:v>En tant que membre, je veux télécharger reçus, attestations et carte membre. afin de garantir le fonctionnement attendu du module portail et application membre.</x:v>
      </x:c>
      <x:c r="G58" s="42" t="str">
        <x:v>Conformité métier, qualité de service et traçabilité.</x:v>
      </x:c>
      <x:c r="H58" s="42" t="str">
        <x:v>Must</x:v>
      </x:c>
      <x:c r="I58" s="42" t="str">
        <x:v>R2 - Portail et extension</x:v>
      </x:c>
      <x:c r="J58" s="42" t="str">
        <x:v>À faire</x:v>
      </x:c>
      <x:c r="K58" s="42" t="str">
        <x:v>Décisions ouvertes applicables; socle R0</x:v>
      </x:c>
      <x:c r="L58" s="42" t="str">
        <x:v>PORTAL.SELF_SERVICE</x:v>
      </x:c>
      <x:c r="M58" s="42" t="str">
        <x:v>member.membership; service.request; document.document</x:v>
      </x:c>
      <x:c r="N58" s="42" t="str">
        <x:v>/api/v1/members</x:v>
      </x:c>
      <x:c r="O58" s="42" t="str">
        <x:v>Les documents sont signés et vérifiables.</x:v>
      </x:c>
      <x:c r="P58" s="42" t="str">
        <x:v>Obligatoire</x:v>
      </x:c>
      <x:c r="Q58" s="42" t="str">
        <x:v>Confidentiel</x:v>
      </x:c>
      <x:c r="R58" s="42" t="str">
        <x:v>Unitaire; intégration; autorisation; audit; E2E; accessibilité</x:v>
      </x:c>
      <x:c r="S58" s="42" t="n">
        <x:v>8</x:v>
      </x:c>
      <x:c r="T58" s="42" t="str">
        <x:v>À affecter</x:v>
      </x:c>
      <x:c r="U58" s="42" t="str"/>
    </x:row>
    <x:row r="59">
      <x:c r="A59" s="42" t="str">
        <x:v>US-PRT-005</x:v>
      </x:c>
      <x:c r="B59" s="42" t="str">
        <x:v>PRT-005</x:v>
      </x:c>
      <x:c r="C59" s="42" t="str">
        <x:v>Portail et application membre</x:v>
      </x:c>
      <x:c r="D59" s="42" t="str">
        <x:v>Mettre à jour les informations soumises à validation</x:v>
      </x:c>
      <x:c r="E59" s="42" t="str">
        <x:v>Membre</x:v>
      </x:c>
      <x:c r="F59" s="42" t="str">
        <x:v>En tant que membre, je veux mettre à jour les informations soumises à validation. afin de garantir le fonctionnement attendu du module portail et application membre.</x:v>
      </x:c>
      <x:c r="G59" s="42" t="str">
        <x:v>Conformité métier, qualité de service et traçabilité.</x:v>
      </x:c>
      <x:c r="H59" s="42" t="str">
        <x:v>Must</x:v>
      </x:c>
      <x:c r="I59" s="42" t="str">
        <x:v>R2 - Portail et extension</x:v>
      </x:c>
      <x:c r="J59" s="42" t="str">
        <x:v>À faire</x:v>
      </x:c>
      <x:c r="K59" s="42" t="str">
        <x:v>Décisions ouvertes applicables; socle R0</x:v>
      </x:c>
      <x:c r="L59" s="42" t="str">
        <x:v>PORTAL.SELF_SERVICE</x:v>
      </x:c>
      <x:c r="M59" s="42" t="str">
        <x:v>member.membership; service.request; document.document</x:v>
      </x:c>
      <x:c r="N59" s="42" t="str">
        <x:v>/api/v1/members</x:v>
      </x:c>
      <x:c r="O59" s="42" t="str">
        <x:v>Les changements sensibles restent en attente jusqu’à validation.</x:v>
      </x:c>
      <x:c r="P59" s="42" t="str">
        <x:v>Obligatoire</x:v>
      </x:c>
      <x:c r="Q59" s="42" t="str">
        <x:v>Confidentiel</x:v>
      </x:c>
      <x:c r="R59" s="42" t="str">
        <x:v>Unitaire; intégration; autorisation; audit; E2E; accessibilité</x:v>
      </x:c>
      <x:c r="S59" s="42" t="n">
        <x:v>8</x:v>
      </x:c>
      <x:c r="T59" s="42" t="str">
        <x:v>À affecter</x:v>
      </x:c>
      <x:c r="U59" s="42" t="str"/>
    </x:row>
    <x:row r="60">
      <x:c r="A60" s="42" t="str">
        <x:v>US-PRT-006</x:v>
      </x:c>
      <x:c r="B60" s="42" t="str">
        <x:v>PRT-006</x:v>
      </x:c>
      <x:c r="C60" s="42" t="str">
        <x:v>Portail et application membre</x:v>
      </x:c>
      <x:c r="D60" s="42" t="str">
        <x:v>Déposer et suivre une requête ou réclamation</x:v>
      </x:c>
      <x:c r="E60" s="42" t="str">
        <x:v>Membre</x:v>
      </x:c>
      <x:c r="F60" s="42" t="str">
        <x:v>En tant que membre, je veux déposer et suivre une requête ou réclamation. afin de garantir le fonctionnement attendu du module portail et application membre.</x:v>
      </x:c>
      <x:c r="G60" s="42" t="str">
        <x:v>Conformité métier, qualité de service et traçabilité.</x:v>
      </x:c>
      <x:c r="H60" s="42" t="str">
        <x:v>Must</x:v>
      </x:c>
      <x:c r="I60" s="42" t="str">
        <x:v>R2 - Portail et extension</x:v>
      </x:c>
      <x:c r="J60" s="42" t="str">
        <x:v>À faire</x:v>
      </x:c>
      <x:c r="K60" s="42" t="str">
        <x:v>Décisions ouvertes applicables; socle R0</x:v>
      </x:c>
      <x:c r="L60" s="42" t="str">
        <x:v>PORTAL.SELF_SERVICE</x:v>
      </x:c>
      <x:c r="M60" s="42" t="str">
        <x:v>member.membership; service.request; document.document</x:v>
      </x:c>
      <x:c r="N60" s="42" t="str">
        <x:v>/api/v1/members</x:v>
      </x:c>
      <x:c r="O60" s="42" t="str">
        <x:v>Le membre voit le SLA, les réponses et les pièces demandées.</x:v>
      </x:c>
      <x:c r="P60" s="42" t="str">
        <x:v>Obligatoire</x:v>
      </x:c>
      <x:c r="Q60" s="42" t="str">
        <x:v>Confidentiel</x:v>
      </x:c>
      <x:c r="R60" s="42" t="str">
        <x:v>Unitaire; intégration; autorisation; audit; E2E; accessibilité</x:v>
      </x:c>
      <x:c r="S60" s="42" t="n">
        <x:v>8</x:v>
      </x:c>
      <x:c r="T60" s="42" t="str">
        <x:v>À affecter</x:v>
      </x:c>
      <x:c r="U60" s="42" t="str"/>
    </x:row>
    <x:row r="61">
      <x:c r="A61" s="42" t="str">
        <x:v>US-PRT-007</x:v>
      </x:c>
      <x:c r="B61" s="42" t="str">
        <x:v>PRT-007</x:v>
      </x:c>
      <x:c r="C61" s="42" t="str">
        <x:v>Portail et application membre</x:v>
      </x:c>
      <x:c r="D61" s="42" t="str">
        <x:v>Inscrire des représentants aux événements</x:v>
      </x:c>
      <x:c r="E61" s="42" t="str">
        <x:v>Membre</x:v>
      </x:c>
      <x:c r="F61" s="42" t="str">
        <x:v>En tant que membre, je veux inscrire des représentants aux événements. afin de garantir le fonctionnement attendu du module portail et application membre.</x:v>
      </x:c>
      <x:c r="G61" s="42" t="str">
        <x:v>Conformité métier, qualité de service et traçabilité.</x:v>
      </x:c>
      <x:c r="H61" s="42" t="str">
        <x:v>Should</x:v>
      </x:c>
      <x:c r="I61" s="42" t="str">
        <x:v>R2 - Portail et extension</x:v>
      </x:c>
      <x:c r="J61" s="42" t="str">
        <x:v>À faire</x:v>
      </x:c>
      <x:c r="K61" s="42" t="str">
        <x:v>Décisions ouvertes applicables; socle R0</x:v>
      </x:c>
      <x:c r="L61" s="42" t="str">
        <x:v>PORTAL.SELF_SERVICE</x:v>
      </x:c>
      <x:c r="M61" s="42" t="str">
        <x:v>member.membership; service.request; document.document</x:v>
      </x:c>
      <x:c r="N61" s="42" t="str">
        <x:v>/api/v1/members</x:v>
      </x:c>
      <x:c r="O61" s="42" t="str">
        <x:v>Confirmation, QR d’accès et rappel automatiques.</x:v>
      </x:c>
      <x:c r="P61" s="42" t="str">
        <x:v>Selon action</x:v>
      </x:c>
      <x:c r="Q61" s="42" t="str">
        <x:v>Confidentiel</x:v>
      </x:c>
      <x:c r="R61" s="42" t="str">
        <x:v>Unitaire; intégration; autorisation; audit; E2E; accessibilité</x:v>
      </x:c>
      <x:c r="S61" s="42" t="n">
        <x:v>5</x:v>
      </x:c>
      <x:c r="T61" s="42" t="str">
        <x:v>À affecter</x:v>
      </x:c>
      <x:c r="U61" s="42" t="str"/>
    </x:row>
    <x:row r="62">
      <x:c r="A62" s="42" t="str">
        <x:v>US-PRT-008</x:v>
      </x:c>
      <x:c r="B62" s="42" t="str">
        <x:v>PRT-008</x:v>
      </x:c>
      <x:c r="C62" s="42" t="str">
        <x:v>Portail et application membre</x:v>
      </x:c>
      <x:c r="D62" s="42" t="str">
        <x:v>Gérer les utilisateurs délégués de l’entreprise</x:v>
      </x:c>
      <x:c r="E62" s="42" t="str">
        <x:v>Membre</x:v>
      </x:c>
      <x:c r="F62" s="42" t="str">
        <x:v>En tant que membre, je veux gérer les utilisateurs délégués de l’entreprise. afin de garantir le fonctionnement attendu du module portail et application membre.</x:v>
      </x:c>
      <x:c r="G62" s="42" t="str">
        <x:v>Conformité métier, qualité de service et traçabilité.</x:v>
      </x:c>
      <x:c r="H62" s="42" t="str">
        <x:v>Should</x:v>
      </x:c>
      <x:c r="I62" s="42" t="str">
        <x:v>R2 - Portail et extension</x:v>
      </x:c>
      <x:c r="J62" s="42" t="str">
        <x:v>À faire</x:v>
      </x:c>
      <x:c r="K62" s="42" t="str">
        <x:v>Décisions ouvertes applicables; socle R0</x:v>
      </x:c>
      <x:c r="L62" s="42" t="str">
        <x:v>PORTAL.SELF_SERVICE</x:v>
      </x:c>
      <x:c r="M62" s="42" t="str">
        <x:v>member.membership; service.request; document.document</x:v>
      </x:c>
      <x:c r="N62" s="42" t="str">
        <x:v>/api/v1/members</x:v>
      </x:c>
      <x:c r="O62" s="42" t="str">
        <x:v>Le représentant principal attribue des droits limités.</x:v>
      </x:c>
      <x:c r="P62" s="42" t="str">
        <x:v>Selon action</x:v>
      </x:c>
      <x:c r="Q62" s="42" t="str">
        <x:v>Confidentiel</x:v>
      </x:c>
      <x:c r="R62" s="42" t="str">
        <x:v>Unitaire; intégration; autorisation; audit; E2E; accessibilité</x:v>
      </x:c>
      <x:c r="S62" s="42" t="n">
        <x:v>5</x:v>
      </x:c>
      <x:c r="T62" s="42" t="str">
        <x:v>À affecter</x:v>
      </x:c>
      <x:c r="U62" s="42" t="str"/>
    </x:row>
    <x:row r="63">
      <x:c r="A63" s="42" t="str">
        <x:v>US-PRT-009</x:v>
      </x:c>
      <x:c r="B63" s="42" t="str">
        <x:v>PRT-009</x:v>
      </x:c>
      <x:c r="C63" s="42" t="str">
        <x:v>Portail et application membre</x:v>
      </x:c>
      <x:c r="D63" s="42" t="str">
        <x:v>Utiliser l’application en français et préparer d’autres langues</x:v>
      </x:c>
      <x:c r="E63" s="42" t="str">
        <x:v>Membre</x:v>
      </x:c>
      <x:c r="F63" s="42" t="str">
        <x:v>En tant que membre, je veux utiliser l’application en français et préparer d’autres langues. afin de garantir le fonctionnement attendu du module portail et application membre.</x:v>
      </x:c>
      <x:c r="G63" s="42" t="str">
        <x:v>Conformité métier, qualité de service et traçabilité.</x:v>
      </x:c>
      <x:c r="H63" s="42" t="str">
        <x:v>Should</x:v>
      </x:c>
      <x:c r="I63" s="42" t="str">
        <x:v>R2 - Portail et extension</x:v>
      </x:c>
      <x:c r="J63" s="42" t="str">
        <x:v>À faire</x:v>
      </x:c>
      <x:c r="K63" s="42" t="str">
        <x:v>Décisions ouvertes applicables; socle R0</x:v>
      </x:c>
      <x:c r="L63" s="42" t="str">
        <x:v>PORTAL.SELF_SERVICE</x:v>
      </x:c>
      <x:c r="M63" s="42" t="str">
        <x:v>member.membership; service.request; document.document</x:v>
      </x:c>
      <x:c r="N63" s="42" t="str">
        <x:v>/api/v1/members</x:v>
      </x:c>
      <x:c r="O63" s="42" t="str">
        <x:v>Tous les libellés sont externalisés et traduisibles.</x:v>
      </x:c>
      <x:c r="P63" s="42" t="str">
        <x:v>Selon action</x:v>
      </x:c>
      <x:c r="Q63" s="42" t="str">
        <x:v>Confidentiel</x:v>
      </x:c>
      <x:c r="R63" s="42" t="str">
        <x:v>Unitaire; intégration; autorisation; audit; E2E; accessibilité</x:v>
      </x:c>
      <x:c r="S63" s="42" t="n">
        <x:v>5</x:v>
      </x:c>
      <x:c r="T63" s="42" t="str">
        <x:v>À affecter</x:v>
      </x:c>
      <x:c r="U63" s="42" t="str"/>
    </x:row>
    <x:row r="64">
      <x:c r="A64" s="42" t="str">
        <x:v>US-PRT-010</x:v>
      </x:c>
      <x:c r="B64" s="42" t="str">
        <x:v>PRT-010</x:v>
      </x:c>
      <x:c r="C64" s="42" t="str">
        <x:v>Portail et application membre</x:v>
      </x:c>
      <x:c r="D64" s="42" t="str">
        <x:v>Recevoir des notifications push pertinentes</x:v>
      </x:c>
      <x:c r="E64" s="42" t="str">
        <x:v>Membre</x:v>
      </x:c>
      <x:c r="F64" s="42" t="str">
        <x:v>En tant que membre, je veux recevoir des notifications push pertinentes. afin de garantir le fonctionnement attendu du module portail et application membre.</x:v>
      </x:c>
      <x:c r="G64" s="42" t="str">
        <x:v>Conformité métier, qualité de service et traçabilité.</x:v>
      </x:c>
      <x:c r="H64" s="42" t="str">
        <x:v>Should</x:v>
      </x:c>
      <x:c r="I64" s="42" t="str">
        <x:v>R2 - Portail et extension</x:v>
      </x:c>
      <x:c r="J64" s="42" t="str">
        <x:v>À faire</x:v>
      </x:c>
      <x:c r="K64" s="42" t="str">
        <x:v>Décisions ouvertes applicables; socle R0</x:v>
      </x:c>
      <x:c r="L64" s="42" t="str">
        <x:v>PORTAL.SELF_SERVICE</x:v>
      </x:c>
      <x:c r="M64" s="42" t="str">
        <x:v>member.membership; service.request; document.document</x:v>
      </x:c>
      <x:c r="N64" s="42" t="str">
        <x:v>/api/v1/members</x:v>
      </x:c>
      <x:c r="O64" s="42" t="str">
        <x:v>Les préférences sont modifiables et la désinscription respectée.</x:v>
      </x:c>
      <x:c r="P64" s="42" t="str">
        <x:v>Selon action</x:v>
      </x:c>
      <x:c r="Q64" s="42" t="str">
        <x:v>Confidentiel</x:v>
      </x:c>
      <x:c r="R64" s="42" t="str">
        <x:v>Unitaire; intégration; autorisation; audit; E2E; accessibilité</x:v>
      </x:c>
      <x:c r="S64" s="42" t="n">
        <x:v>5</x:v>
      </x:c>
      <x:c r="T64" s="42" t="str">
        <x:v>À affecter</x:v>
      </x:c>
      <x:c r="U64" s="42" t="str"/>
    </x:row>
    <x:row r="65">
      <x:c r="A65" s="42" t="str">
        <x:v>US-REQ-001</x:v>
      </x:c>
      <x:c r="B65" s="42" t="str">
        <x:v>REQ-001</x:v>
      </x:c>
      <x:c r="C65" s="42" t="str">
        <x:v>Requêtes et réclamations</x:v>
      </x:c>
      <x:c r="D65" s="42" t="str">
        <x:v>Attribuer un numéro de dossier unique et un accusé de réception</x:v>
      </x:c>
      <x:c r="E65" s="42" t="str">
        <x:v>Membre / Agent support</x:v>
      </x:c>
      <x:c r="F65" s="42" t="str">
        <x:v>En tant que membre / agent support, je veux attribuer un numéro de dossier unique et un accusé de réception. afin de garantir le fonctionnement attendu du module requêtes et réclamations.</x:v>
      </x:c>
      <x:c r="G65" s="42" t="str">
        <x:v>Conformité métier, qualité de service et traçabilité.</x:v>
      </x:c>
      <x:c r="H65" s="42" t="str">
        <x:v>Must</x:v>
      </x:c>
      <x:c r="I65" s="42" t="str">
        <x:v>R2 - Portail et extension</x:v>
      </x:c>
      <x:c r="J65" s="42" t="str">
        <x:v>À faire</x:v>
      </x:c>
      <x:c r="K65" s="42" t="str">
        <x:v>Décisions ouvertes applicables; socle R0</x:v>
      </x:c>
      <x:c r="L65" s="42" t="str">
        <x:v>REQUEST.WRITE</x:v>
      </x:c>
      <x:c r="M65" s="42" t="str">
        <x:v>service.request; service.request_message</x:v>
      </x:c>
      <x:c r="N65" s="42" t="str">
        <x:v>/api/v1/requests</x:v>
      </x:c>
      <x:c r="O65" s="42" t="str">
        <x:v>Le membre reçoit numéro, date et délai cible.</x:v>
      </x:c>
      <x:c r="P65" s="42" t="str">
        <x:v>Obligatoire</x:v>
      </x:c>
      <x:c r="Q65" s="42" t="str">
        <x:v>Confidentiel</x:v>
      </x:c>
      <x:c r="R65" s="42" t="str">
        <x:v>Unitaire; intégration; autorisation; audit</x:v>
      </x:c>
      <x:c r="S65" s="42" t="n">
        <x:v>8</x:v>
      </x:c>
      <x:c r="T65" s="42" t="str">
        <x:v>À affecter</x:v>
      </x:c>
      <x:c r="U65" s="42" t="str"/>
    </x:row>
    <x:row r="66">
      <x:c r="A66" s="42" t="str">
        <x:v>US-REQ-002</x:v>
      </x:c>
      <x:c r="B66" s="42" t="str">
        <x:v>REQ-002</x:v>
      </x:c>
      <x:c r="C66" s="42" t="str">
        <x:v>Requêtes et réclamations</x:v>
      </x:c>
      <x:c r="D66" s="42" t="str">
        <x:v>Qualifier automatiquement ou manuellement la demande</x:v>
      </x:c>
      <x:c r="E66" s="42" t="str">
        <x:v>Membre / Agent support</x:v>
      </x:c>
      <x:c r="F66" s="42" t="str">
        <x:v>En tant que membre / agent support, je veux qualifier automatiquement ou manuellement la demande. afin de garantir le fonctionnement attendu du module requêtes et réclamations.</x:v>
      </x:c>
      <x:c r="G66" s="42" t="str">
        <x:v>Conformité métier, qualité de service et traçabilité.</x:v>
      </x:c>
      <x:c r="H66" s="42" t="str">
        <x:v>Must</x:v>
      </x:c>
      <x:c r="I66" s="42" t="str">
        <x:v>R2 - Portail et extension</x:v>
      </x:c>
      <x:c r="J66" s="42" t="str">
        <x:v>À faire</x:v>
      </x:c>
      <x:c r="K66" s="42" t="str">
        <x:v>Décisions ouvertes applicables; socle R0</x:v>
      </x:c>
      <x:c r="L66" s="42" t="str">
        <x:v>REQUEST.WRITE</x:v>
      </x:c>
      <x:c r="M66" s="42" t="str">
        <x:v>service.request; service.request_message</x:v>
      </x:c>
      <x:c r="N66" s="42" t="str">
        <x:v>/api/v1/requests</x:v>
      </x:c>
      <x:c r="O66" s="42" t="str">
        <x:v>Catégorie, priorité, service, confidentialité et responsable sont définis.</x:v>
      </x:c>
      <x:c r="P66" s="42" t="str">
        <x:v>Obligatoire</x:v>
      </x:c>
      <x:c r="Q66" s="42" t="str">
        <x:v>Confidentiel</x:v>
      </x:c>
      <x:c r="R66" s="42" t="str">
        <x:v>Unitaire; intégration; autorisation; audit</x:v>
      </x:c>
      <x:c r="S66" s="42" t="n">
        <x:v>8</x:v>
      </x:c>
      <x:c r="T66" s="42" t="str">
        <x:v>À affecter</x:v>
      </x:c>
      <x:c r="U66" s="42" t="str"/>
    </x:row>
    <x:row r="67">
      <x:c r="A67" s="42" t="str">
        <x:v>US-REQ-003</x:v>
      </x:c>
      <x:c r="B67" s="42" t="str">
        <x:v>REQ-003</x:v>
      </x:c>
      <x:c r="C67" s="42" t="str">
        <x:v>Requêtes et réclamations</x:v>
      </x:c>
      <x:c r="D67" s="42" t="str">
        <x:v>Affecter selon compétence, charge et groupement</x:v>
      </x:c>
      <x:c r="E67" s="42" t="str">
        <x:v>Membre / Agent support</x:v>
      </x:c>
      <x:c r="F67" s="42" t="str">
        <x:v>En tant que membre / agent support, je veux affecter selon compétence, charge et groupement. afin de garantir le fonctionnement attendu du module requêtes et réclamations.</x:v>
      </x:c>
      <x:c r="G67" s="42" t="str">
        <x:v>Conformité métier, qualité de service et traçabilité.</x:v>
      </x:c>
      <x:c r="H67" s="42" t="str">
        <x:v>Should</x:v>
      </x:c>
      <x:c r="I67" s="42" t="str">
        <x:v>R2 - Portail et extension</x:v>
      </x:c>
      <x:c r="J67" s="42" t="str">
        <x:v>À faire</x:v>
      </x:c>
      <x:c r="K67" s="42" t="str">
        <x:v>Décisions ouvertes applicables; socle R0</x:v>
      </x:c>
      <x:c r="L67" s="42" t="str">
        <x:v>REQUEST.WRITE</x:v>
      </x:c>
      <x:c r="M67" s="42" t="str">
        <x:v>service.request; service.request_message</x:v>
      </x:c>
      <x:c r="N67" s="42" t="str">
        <x:v>/api/v1/requests</x:v>
      </x:c>
      <x:c r="O67" s="42" t="str">
        <x:v>L’affectation automatique peut être reprise avec motif.</x:v>
      </x:c>
      <x:c r="P67" s="42" t="str">
        <x:v>Selon action</x:v>
      </x:c>
      <x:c r="Q67" s="42" t="str">
        <x:v>Confidentiel</x:v>
      </x:c>
      <x:c r="R67" s="42" t="str">
        <x:v>Unitaire; intégration; autorisation; audit</x:v>
      </x:c>
      <x:c r="S67" s="42" t="n">
        <x:v>5</x:v>
      </x:c>
      <x:c r="T67" s="42" t="str">
        <x:v>À affecter</x:v>
      </x:c>
      <x:c r="U67" s="42" t="str"/>
    </x:row>
    <x:row r="68">
      <x:c r="A68" s="42" t="str">
        <x:v>US-REQ-004</x:v>
      </x:c>
      <x:c r="B68" s="42" t="str">
        <x:v>REQ-004</x:v>
      </x:c>
      <x:c r="C68" s="42" t="str">
        <x:v>Requêtes et réclamations</x:v>
      </x:c>
      <x:c r="D68" s="42" t="str">
        <x:v>Gérer échanges, pièces, commentaires internes et réponses externes</x:v>
      </x:c>
      <x:c r="E68" s="42" t="str">
        <x:v>Membre / Agent support</x:v>
      </x:c>
      <x:c r="F68" s="42" t="str">
        <x:v>En tant que membre / agent support, je veux gérer échanges, pièces, commentaires internes et réponses externes. afin de garantir le fonctionnement attendu du module requêtes et réclamations.</x:v>
      </x:c>
      <x:c r="G68" s="42" t="str">
        <x:v>Conformité métier, qualité de service et traçabilité.</x:v>
      </x:c>
      <x:c r="H68" s="42" t="str">
        <x:v>Must</x:v>
      </x:c>
      <x:c r="I68" s="42" t="str">
        <x:v>R2 - Portail et extension</x:v>
      </x:c>
      <x:c r="J68" s="42" t="str">
        <x:v>À faire</x:v>
      </x:c>
      <x:c r="K68" s="42" t="str">
        <x:v>Décisions ouvertes applicables; socle R0</x:v>
      </x:c>
      <x:c r="L68" s="42" t="str">
        <x:v>REQUEST.WRITE</x:v>
      </x:c>
      <x:c r="M68" s="42" t="str">
        <x:v>service.request; service.request_message</x:v>
      </x:c>
      <x:c r="N68" s="42" t="str">
        <x:v>/api/v1/requests</x:v>
      </x:c>
      <x:c r="O68" s="42" t="str">
        <x:v>Les notes internes ne sont jamais visibles du membre.</x:v>
      </x:c>
      <x:c r="P68" s="42" t="str">
        <x:v>Obligatoire</x:v>
      </x:c>
      <x:c r="Q68" s="42" t="str">
        <x:v>Confidentiel</x:v>
      </x:c>
      <x:c r="R68" s="42" t="str">
        <x:v>Unitaire; intégration; autorisation; audit</x:v>
      </x:c>
      <x:c r="S68" s="42" t="n">
        <x:v>8</x:v>
      </x:c>
      <x:c r="T68" s="42" t="str">
        <x:v>À affecter</x:v>
      </x:c>
      <x:c r="U68" s="42" t="str"/>
    </x:row>
    <x:row r="69">
      <x:c r="A69" s="42" t="str">
        <x:v>US-REQ-005</x:v>
      </x:c>
      <x:c r="B69" s="42" t="str">
        <x:v>REQ-005</x:v>
      </x:c>
      <x:c r="C69" s="42" t="str">
        <x:v>Requêtes et réclamations</x:v>
      </x:c>
      <x:c r="D69" s="42" t="str">
        <x:v>Suivre SLA, relances internes et escalades</x:v>
      </x:c>
      <x:c r="E69" s="42" t="str">
        <x:v>Membre / Agent support</x:v>
      </x:c>
      <x:c r="F69" s="42" t="str">
        <x:v>En tant que membre / agent support, je veux suivre SLA, relances internes et escalades. afin de garantir le fonctionnement attendu du module requêtes et réclamations.</x:v>
      </x:c>
      <x:c r="G69" s="42" t="str">
        <x:v>Conformité métier, qualité de service et traçabilité.</x:v>
      </x:c>
      <x:c r="H69" s="42" t="str">
        <x:v>Must</x:v>
      </x:c>
      <x:c r="I69" s="42" t="str">
        <x:v>R2 - Portail et extension</x:v>
      </x:c>
      <x:c r="J69" s="42" t="str">
        <x:v>À faire</x:v>
      </x:c>
      <x:c r="K69" s="42" t="str">
        <x:v>Décisions ouvertes applicables; socle R0</x:v>
      </x:c>
      <x:c r="L69" s="42" t="str">
        <x:v>REQUEST.WRITE</x:v>
      </x:c>
      <x:c r="M69" s="42" t="str">
        <x:v>service.request; service.request_message</x:v>
      </x:c>
      <x:c r="N69" s="42" t="str">
        <x:v>/api/v1/requests</x:v>
      </x:c>
      <x:c r="O69" s="42" t="str">
        <x:v>Des alertes sont envoyées avant et après dépassement.</x:v>
      </x:c>
      <x:c r="P69" s="42" t="str">
        <x:v>Obligatoire</x:v>
      </x:c>
      <x:c r="Q69" s="42" t="str">
        <x:v>Confidentiel</x:v>
      </x:c>
      <x:c r="R69" s="42" t="str">
        <x:v>Unitaire; intégration; autorisation; audit</x:v>
      </x:c>
      <x:c r="S69" s="42" t="n">
        <x:v>8</x:v>
      </x:c>
      <x:c r="T69" s="42" t="str">
        <x:v>À affecter</x:v>
      </x:c>
      <x:c r="U69" s="42" t="str"/>
    </x:row>
    <x:row r="70">
      <x:c r="A70" s="42" t="str">
        <x:v>US-REQ-006</x:v>
      </x:c>
      <x:c r="B70" s="42" t="str">
        <x:v>REQ-006</x:v>
      </x:c>
      <x:c r="C70" s="42" t="str">
        <x:v>Requêtes et réclamations</x:v>
      </x:c>
      <x:c r="D70" s="42" t="str">
        <x:v>Permettre au membre de réouvrir dans un délai paramétrable</x:v>
      </x:c>
      <x:c r="E70" s="42" t="str">
        <x:v>Membre / Agent support</x:v>
      </x:c>
      <x:c r="F70" s="42" t="str">
        <x:v>En tant que membre / agent support, je veux permettre au membre de réouvrir dans un délai paramétrable. afin de garantir le fonctionnement attendu du module requêtes et réclamations.</x:v>
      </x:c>
      <x:c r="G70" s="42" t="str">
        <x:v>Conformité métier, qualité de service et traçabilité.</x:v>
      </x:c>
      <x:c r="H70" s="42" t="str">
        <x:v>Should</x:v>
      </x:c>
      <x:c r="I70" s="42" t="str">
        <x:v>R2 - Portail et extension</x:v>
      </x:c>
      <x:c r="J70" s="42" t="str">
        <x:v>À faire</x:v>
      </x:c>
      <x:c r="K70" s="42" t="str">
        <x:v>Décisions ouvertes applicables; socle R0</x:v>
      </x:c>
      <x:c r="L70" s="42" t="str">
        <x:v>REQUEST.WRITE</x:v>
      </x:c>
      <x:c r="M70" s="42" t="str">
        <x:v>service.request; service.request_message</x:v>
      </x:c>
      <x:c r="N70" s="42" t="str">
        <x:v>/api/v1/requests</x:v>
      </x:c>
      <x:c r="O70" s="42" t="str">
        <x:v>Le motif de réouverture est obligatoire.</x:v>
      </x:c>
      <x:c r="P70" s="42" t="str">
        <x:v>Selon action</x:v>
      </x:c>
      <x:c r="Q70" s="42" t="str">
        <x:v>Confidentiel</x:v>
      </x:c>
      <x:c r="R70" s="42" t="str">
        <x:v>Unitaire; intégration; autorisation; audit</x:v>
      </x:c>
      <x:c r="S70" s="42" t="n">
        <x:v>5</x:v>
      </x:c>
      <x:c r="T70" s="42" t="str">
        <x:v>À affecter</x:v>
      </x:c>
      <x:c r="U70" s="42" t="str"/>
    </x:row>
    <x:row r="71">
      <x:c r="A71" s="42" t="str">
        <x:v>US-REQ-007</x:v>
      </x:c>
      <x:c r="B71" s="42" t="str">
        <x:v>REQ-007</x:v>
      </x:c>
      <x:c r="C71" s="42" t="str">
        <x:v>Requêtes et réclamations</x:v>
      </x:c>
      <x:c r="D71" s="42" t="str">
        <x:v>Mesurer satisfaction et qualité de service</x:v>
      </x:c>
      <x:c r="E71" s="42" t="str">
        <x:v>Membre / Agent support</x:v>
      </x:c>
      <x:c r="F71" s="42" t="str">
        <x:v>En tant que membre / agent support, je veux mesurer satisfaction et qualité de service. afin de garantir le fonctionnement attendu du module requêtes et réclamations.</x:v>
      </x:c>
      <x:c r="G71" s="42" t="str">
        <x:v>Conformité métier, qualité de service et traçabilité.</x:v>
      </x:c>
      <x:c r="H71" s="42" t="str">
        <x:v>Should</x:v>
      </x:c>
      <x:c r="I71" s="42" t="str">
        <x:v>R2 - Portail et extension</x:v>
      </x:c>
      <x:c r="J71" s="42" t="str">
        <x:v>À faire</x:v>
      </x:c>
      <x:c r="K71" s="42" t="str">
        <x:v>Décisions ouvertes applicables; socle R0</x:v>
      </x:c>
      <x:c r="L71" s="42" t="str">
        <x:v>REQUEST.WRITE</x:v>
      </x:c>
      <x:c r="M71" s="42" t="str">
        <x:v>service.request; service.request_message</x:v>
      </x:c>
      <x:c r="N71" s="42" t="str">
        <x:v>/api/v1/requests</x:v>
      </x:c>
      <x:c r="O71" s="42" t="str">
        <x:v>Score, verbatim et motif d’insatisfaction sont exploitables en BI.</x:v>
      </x:c>
      <x:c r="P71" s="42" t="str">
        <x:v>Selon action</x:v>
      </x:c>
      <x:c r="Q71" s="42" t="str">
        <x:v>Confidentiel</x:v>
      </x:c>
      <x:c r="R71" s="42" t="str">
        <x:v>Unitaire; intégration; autorisation; audit</x:v>
      </x:c>
      <x:c r="S71" s="42" t="n">
        <x:v>5</x:v>
      </x:c>
      <x:c r="T71" s="42" t="str">
        <x:v>À affecter</x:v>
      </x:c>
      <x:c r="U71" s="42" t="str"/>
    </x:row>
    <x:row r="72">
      <x:c r="A72" s="42" t="str">
        <x:v>US-REQ-008</x:v>
      </x:c>
      <x:c r="B72" s="42" t="str">
        <x:v>REQ-008</x:v>
      </x:c>
      <x:c r="C72" s="42" t="str">
        <x:v>Requêtes et réclamations</x:v>
      </x:c>
      <x:c r="D72" s="42" t="str">
        <x:v>Capitaliser les réponses en base de connaissances</x:v>
      </x:c>
      <x:c r="E72" s="42" t="str">
        <x:v>Membre / Agent support</x:v>
      </x:c>
      <x:c r="F72" s="42" t="str">
        <x:v>En tant que membre / agent support, je veux capitaliser les réponses en base de connaissances. afin de garantir le fonctionnement attendu du module requêtes et réclamations.</x:v>
      </x:c>
      <x:c r="G72" s="42" t="str">
        <x:v>Conformité métier, qualité de service et traçabilité.</x:v>
      </x:c>
      <x:c r="H72" s="42" t="str">
        <x:v>Could</x:v>
      </x:c>
      <x:c r="I72" s="42" t="str">
        <x:v>R2 - Portail et extension</x:v>
      </x:c>
      <x:c r="J72" s="42" t="str">
        <x:v>À faire</x:v>
      </x:c>
      <x:c r="K72" s="42" t="str">
        <x:v>Décisions ouvertes applicables; socle R0</x:v>
      </x:c>
      <x:c r="L72" s="42" t="str">
        <x:v>REQUEST.WRITE</x:v>
      </x:c>
      <x:c r="M72" s="42" t="str">
        <x:v>service.request; service.request_message</x:v>
      </x:c>
      <x:c r="N72" s="42" t="str">
        <x:v>/api/v1/requests</x:v>
      </x:c>
      <x:c r="O72" s="42" t="str">
        <x:v>Une réponse validée peut être transformée en article FAQ.</x:v>
      </x:c>
      <x:c r="P72" s="42" t="str">
        <x:v>Selon action</x:v>
      </x:c>
      <x:c r="Q72" s="42" t="str">
        <x:v>Confidentiel</x:v>
      </x:c>
      <x:c r="R72" s="42" t="str">
        <x:v>Unitaire; intégration; autorisation; audit</x:v>
      </x:c>
      <x:c r="S72" s="42" t="n">
        <x:v>3</x:v>
      </x:c>
      <x:c r="T72" s="42" t="str">
        <x:v>À affecter</x:v>
      </x:c>
      <x:c r="U72" s="42" t="str"/>
    </x:row>
    <x:row r="73">
      <x:c r="A73" s="42" t="str">
        <x:v>US-GRP-001</x:v>
      </x:c>
      <x:c r="B73" s="42" t="str">
        <x:v>GRP-001</x:v>
      </x:c>
      <x:c r="C73" s="42" t="str">
        <x:v>Groupements professionnels</x:v>
      </x:c>
      <x:c r="D73" s="42" t="str">
        <x:v>Créer les groupements, responsables, mandats et zones</x:v>
      </x:c>
      <x:c r="E73" s="42" t="str">
        <x:v>Responsable de groupement</x:v>
      </x:c>
      <x:c r="F73" s="42" t="str">
        <x:v>En tant que responsable de groupement, je veux créer les groupements, responsables, mandats et zones. afin de garantir le fonctionnement attendu du module groupements professionnels.</x:v>
      </x:c>
      <x:c r="G73" s="42" t="str">
        <x:v>Conformité métier, qualité de service et traçabilité.</x:v>
      </x:c>
      <x:c r="H73" s="42" t="str">
        <x:v>Must</x:v>
      </x:c>
      <x:c r="I73" s="42" t="str">
        <x:v>R2 - Portail et extension</x:v>
      </x:c>
      <x:c r="J73" s="42" t="str">
        <x:v>À faire</x:v>
      </x:c>
      <x:c r="K73" s="42" t="str">
        <x:v>Décisions ouvertes applicables; socle R0</x:v>
      </x:c>
      <x:c r="L73" s="42" t="str">
        <x:v>GROUP.READ</x:v>
      </x:c>
      <x:c r="M73" s="42" t="str">
        <x:v>member.professional_group; member.group_membership</x:v>
      </x:c>
      <x:c r="N73" s="42" t="str">
        <x:v>/api/v1/professional-groups</x:v>
      </x:c>
      <x:c r="O73" s="42" t="str">
        <x:v>Chaque membre est rattaché à un ou plusieurs groupements selon règles.</x:v>
      </x:c>
      <x:c r="P73" s="42" t="str">
        <x:v>Obligatoire</x:v>
      </x:c>
      <x:c r="Q73" s="42" t="str">
        <x:v>Interne</x:v>
      </x:c>
      <x:c r="R73" s="42" t="str">
        <x:v>Unitaire; intégration; autorisation; audit</x:v>
      </x:c>
      <x:c r="S73" s="42" t="n">
        <x:v>8</x:v>
      </x:c>
      <x:c r="T73" s="42" t="str">
        <x:v>À affecter</x:v>
      </x:c>
      <x:c r="U73" s="42" t="str"/>
    </x:row>
    <x:row r="74">
      <x:c r="A74" s="42" t="str">
        <x:v>US-GRP-002</x:v>
      </x:c>
      <x:c r="B74" s="42" t="str">
        <x:v>GRP-002</x:v>
      </x:c>
      <x:c r="C74" s="42" t="str">
        <x:v>Groupements professionnels</x:v>
      </x:c>
      <x:c r="D74" s="42" t="str">
        <x:v>Attribuer un portefeuille de prospects et membres</x:v>
      </x:c>
      <x:c r="E74" s="42" t="str">
        <x:v>Responsable de groupement</x:v>
      </x:c>
      <x:c r="F74" s="42" t="str">
        <x:v>En tant que responsable de groupement, je veux attribuer un portefeuille de prospects et membres. afin de garantir le fonctionnement attendu du module groupements professionnels.</x:v>
      </x:c>
      <x:c r="G74" s="42" t="str">
        <x:v>Conformité métier, qualité de service et traçabilité.</x:v>
      </x:c>
      <x:c r="H74" s="42" t="str">
        <x:v>Must</x:v>
      </x:c>
      <x:c r="I74" s="42" t="str">
        <x:v>R2 - Portail et extension</x:v>
      </x:c>
      <x:c r="J74" s="42" t="str">
        <x:v>À faire</x:v>
      </x:c>
      <x:c r="K74" s="42" t="str">
        <x:v>Décisions ouvertes applicables; socle R0</x:v>
      </x:c>
      <x:c r="L74" s="42" t="str">
        <x:v>GROUP.READ</x:v>
      </x:c>
      <x:c r="M74" s="42" t="str">
        <x:v>member.professional_group; member.group_membership</x:v>
      </x:c>
      <x:c r="N74" s="42" t="str">
        <x:v>/api/v1/professional-groups</x:v>
      </x:c>
      <x:c r="O74" s="42" t="str">
        <x:v>Le groupement ne voit que son périmètre autorisé.</x:v>
      </x:c>
      <x:c r="P74" s="42" t="str">
        <x:v>Obligatoire</x:v>
      </x:c>
      <x:c r="Q74" s="42" t="str">
        <x:v>Interne</x:v>
      </x:c>
      <x:c r="R74" s="42" t="str">
        <x:v>Unitaire; intégration; autorisation; audit</x:v>
      </x:c>
      <x:c r="S74" s="42" t="n">
        <x:v>8</x:v>
      </x:c>
      <x:c r="T74" s="42" t="str">
        <x:v>À affecter</x:v>
      </x:c>
      <x:c r="U74" s="42" t="str"/>
    </x:row>
    <x:row r="75">
      <x:c r="A75" s="42" t="str">
        <x:v>US-GRP-003</x:v>
      </x:c>
      <x:c r="B75" s="42" t="str">
        <x:v>GRP-003</x:v>
      </x:c>
      <x:c r="C75" s="42" t="str">
        <x:v>Groupements professionnels</x:v>
      </x:c>
      <x:c r="D75" s="42" t="str">
        <x:v>Suivre objectifs d’enrôlement, cotisation et réactivation</x:v>
      </x:c>
      <x:c r="E75" s="42" t="str">
        <x:v>Responsable de groupement</x:v>
      </x:c>
      <x:c r="F75" s="42" t="str">
        <x:v>En tant que responsable de groupement, je veux suivre objectifs d’enrôlement, cotisation et réactivation. afin de garantir le fonctionnement attendu du module groupements professionnels.</x:v>
      </x:c>
      <x:c r="G75" s="42" t="str">
        <x:v>Conformité métier, qualité de service et traçabilité.</x:v>
      </x:c>
      <x:c r="H75" s="42" t="str">
        <x:v>Must</x:v>
      </x:c>
      <x:c r="I75" s="42" t="str">
        <x:v>R2 - Portail et extension</x:v>
      </x:c>
      <x:c r="J75" s="42" t="str">
        <x:v>À faire</x:v>
      </x:c>
      <x:c r="K75" s="42" t="str">
        <x:v>Décisions ouvertes applicables; socle R0</x:v>
      </x:c>
      <x:c r="L75" s="42" t="str">
        <x:v>GROUP.READ</x:v>
      </x:c>
      <x:c r="M75" s="42" t="str">
        <x:v>member.professional_group; member.group_membership</x:v>
      </x:c>
      <x:c r="N75" s="42" t="str">
        <x:v>/api/v1/professional-groups</x:v>
      </x:c>
      <x:c r="O75" s="42" t="str">
        <x:v>Les objectifs et réalisations sont comparables par période.</x:v>
      </x:c>
      <x:c r="P75" s="42" t="str">
        <x:v>Obligatoire</x:v>
      </x:c>
      <x:c r="Q75" s="42" t="str">
        <x:v>Interne</x:v>
      </x:c>
      <x:c r="R75" s="42" t="str">
        <x:v>Unitaire; intégration; autorisation; audit</x:v>
      </x:c>
      <x:c r="S75" s="42" t="n">
        <x:v>8</x:v>
      </x:c>
      <x:c r="T75" s="42" t="str">
        <x:v>À affecter</x:v>
      </x:c>
      <x:c r="U75" s="42" t="str"/>
    </x:row>
    <x:row r="76">
      <x:c r="A76" s="42" t="str">
        <x:v>US-GRP-004</x:v>
      </x:c>
      <x:c r="B76" s="42" t="str">
        <x:v>GRP-004</x:v>
      </x:c>
      <x:c r="C76" s="42" t="str">
        <x:v>Groupements professionnels</x:v>
      </x:c>
      <x:c r="D76" s="42" t="str">
        <x:v>Former et habiliter des référents de groupement</x:v>
      </x:c>
      <x:c r="E76" s="42" t="str">
        <x:v>Responsable de groupement</x:v>
      </x:c>
      <x:c r="F76" s="42" t="str">
        <x:v>En tant que responsable de groupement, je veux former et habiliter des référents de groupement. afin de garantir le fonctionnement attendu du module groupements professionnels.</x:v>
      </x:c>
      <x:c r="G76" s="42" t="str">
        <x:v>Conformité métier, qualité de service et traçabilité.</x:v>
      </x:c>
      <x:c r="H76" s="42" t="str">
        <x:v>Should</x:v>
      </x:c>
      <x:c r="I76" s="42" t="str">
        <x:v>R2 - Portail et extension</x:v>
      </x:c>
      <x:c r="J76" s="42" t="str">
        <x:v>À faire</x:v>
      </x:c>
      <x:c r="K76" s="42" t="str">
        <x:v>Décisions ouvertes applicables; socle R0</x:v>
      </x:c>
      <x:c r="L76" s="42" t="str">
        <x:v>GROUP.READ</x:v>
      </x:c>
      <x:c r="M76" s="42" t="str">
        <x:v>member.professional_group; member.group_membership</x:v>
      </x:c>
      <x:c r="N76" s="42" t="str">
        <x:v>/api/v1/professional-groups</x:v>
      </x:c>
      <x:c r="O76" s="42" t="str">
        <x:v>Le système suit habilitation, date de formation et expiration.</x:v>
      </x:c>
      <x:c r="P76" s="42" t="str">
        <x:v>Selon action</x:v>
      </x:c>
      <x:c r="Q76" s="42" t="str">
        <x:v>Interne</x:v>
      </x:c>
      <x:c r="R76" s="42" t="str">
        <x:v>Unitaire; intégration; autorisation; audit</x:v>
      </x:c>
      <x:c r="S76" s="42" t="n">
        <x:v>5</x:v>
      </x:c>
      <x:c r="T76" s="42" t="str">
        <x:v>À affecter</x:v>
      </x:c>
      <x:c r="U76" s="42" t="str"/>
    </x:row>
    <x:row r="77">
      <x:c r="A77" s="42" t="str">
        <x:v>US-GRP-005</x:v>
      </x:c>
      <x:c r="B77" s="42" t="str">
        <x:v>GRP-005</x:v>
      </x:c>
      <x:c r="C77" s="42" t="str">
        <x:v>Groupements professionnels</x:v>
      </x:c>
      <x:c r="D77" s="42" t="str">
        <x:v>Gérer les commissions, membres, mandats et documents</x:v>
      </x:c>
      <x:c r="E77" s="42" t="str">
        <x:v>Responsable de groupement</x:v>
      </x:c>
      <x:c r="F77" s="42" t="str">
        <x:v>En tant que responsable de groupement, je veux gérer les commissions, membres, mandats et documents. afin de garantir le fonctionnement attendu du module groupements professionnels.</x:v>
      </x:c>
      <x:c r="G77" s="42" t="str">
        <x:v>Conformité métier, qualité de service et traçabilité.</x:v>
      </x:c>
      <x:c r="H77" s="42" t="str">
        <x:v>Should</x:v>
      </x:c>
      <x:c r="I77" s="42" t="str">
        <x:v>R2 - Portail et extension</x:v>
      </x:c>
      <x:c r="J77" s="42" t="str">
        <x:v>À faire</x:v>
      </x:c>
      <x:c r="K77" s="42" t="str">
        <x:v>Décisions ouvertes applicables; socle R0</x:v>
      </x:c>
      <x:c r="L77" s="42" t="str">
        <x:v>GROUP.READ</x:v>
      </x:c>
      <x:c r="M77" s="42" t="str">
        <x:v>member.professional_group; member.group_membership</x:v>
      </x:c>
      <x:c r="N77" s="42" t="str">
        <x:v>/api/v1/professional-groups</x:v>
      </x:c>
      <x:c r="O77" s="42" t="str">
        <x:v>L’historique des compositions est conservé.</x:v>
      </x:c>
      <x:c r="P77" s="42" t="str">
        <x:v>Selon action</x:v>
      </x:c>
      <x:c r="Q77" s="42" t="str">
        <x:v>Interne</x:v>
      </x:c>
      <x:c r="R77" s="42" t="str">
        <x:v>Unitaire; intégration; autorisation; audit</x:v>
      </x:c>
      <x:c r="S77" s="42" t="n">
        <x:v>5</x:v>
      </x:c>
      <x:c r="T77" s="42" t="str">
        <x:v>À affecter</x:v>
      </x:c>
      <x:c r="U77" s="42" t="str"/>
    </x:row>
    <x:row r="78">
      <x:c r="A78" s="42" t="str">
        <x:v>US-GRP-006</x:v>
      </x:c>
      <x:c r="B78" s="42" t="str">
        <x:v>GRP-006</x:v>
      </x:c>
      <x:c r="C78" s="42" t="str">
        <x:v>Groupements professionnels</x:v>
      </x:c>
      <x:c r="D78" s="42" t="str">
        <x:v>Produire des tableaux de bord sectoriels</x:v>
      </x:c>
      <x:c r="E78" s="42" t="str">
        <x:v>Responsable de groupement</x:v>
      </x:c>
      <x:c r="F78" s="42" t="str">
        <x:v>En tant que responsable de groupement, je veux produire des tableaux de bord sectoriels. afin de garantir le fonctionnement attendu du module groupements professionnels.</x:v>
      </x:c>
      <x:c r="G78" s="42" t="str">
        <x:v>Conformité métier, qualité de service et traçabilité.</x:v>
      </x:c>
      <x:c r="H78" s="42" t="str">
        <x:v>Must</x:v>
      </x:c>
      <x:c r="I78" s="42" t="str">
        <x:v>R2 - Portail et extension</x:v>
      </x:c>
      <x:c r="J78" s="42" t="str">
        <x:v>À faire</x:v>
      </x:c>
      <x:c r="K78" s="42" t="str">
        <x:v>Décisions ouvertes applicables; socle R0</x:v>
      </x:c>
      <x:c r="L78" s="42" t="str">
        <x:v>GROUP.READ</x:v>
      </x:c>
      <x:c r="M78" s="42" t="str">
        <x:v>member.professional_group; member.group_membership</x:v>
      </x:c>
      <x:c r="N78" s="42" t="str">
        <x:v>/api/v1/professional-groups</x:v>
      </x:c>
      <x:c r="O78" s="42" t="str">
        <x:v>Encaissements, adhésions, retard et engagement par groupement.</x:v>
      </x:c>
      <x:c r="P78" s="42" t="str">
        <x:v>Obligatoire</x:v>
      </x:c>
      <x:c r="Q78" s="42" t="str">
        <x:v>Interne</x:v>
      </x:c>
      <x:c r="R78" s="42" t="str">
        <x:v>Unitaire; intégration; autorisation; audit</x:v>
      </x:c>
      <x:c r="S78" s="42" t="n">
        <x:v>8</x:v>
      </x:c>
      <x:c r="T78" s="42" t="str">
        <x:v>À affecter</x:v>
      </x:c>
      <x:c r="U78" s="42" t="str"/>
    </x:row>
    <x:row r="79">
      <x:c r="A79" s="42" t="str">
        <x:v>US-PRI-001</x:v>
      </x:c>
      <x:c r="B79" s="42" t="str">
        <x:v>PRI-001</x:v>
      </x:c>
      <x:c r="C79" s="42" t="str">
        <x:v>Primes et partage de revenus</x:v>
      </x:c>
      <x:c r="D79" s="42" t="str">
        <x:v>Associer chaque encaissement à une catégorie de mobilisation</x:v>
      </x:c>
      <x:c r="E79" s="42" t="str">
        <x:v>Direction financière</x:v>
      </x:c>
      <x:c r="F79" s="42" t="str">
        <x:v>En tant que direction financière, je veux associer chaque encaissement à une catégorie de mobilisation. afin de garantir le fonctionnement attendu du module primes et partage de revenus.</x:v>
      </x:c>
      <x:c r="G79" s="42" t="str">
        <x:v>Conformité métier, qualité de service et traçabilité.</x:v>
      </x:c>
      <x:c r="H79" s="42" t="str">
        <x:v>Must</x:v>
      </x:c>
      <x:c r="I79" s="42" t="str">
        <x:v>R2 - Portail et extension</x:v>
      </x:c>
      <x:c r="J79" s="42" t="str">
        <x:v>À faire</x:v>
      </x:c>
      <x:c r="K79" s="42" t="str">
        <x:v>Décisions ouvertes applicables; socle R0</x:v>
      </x:c>
      <x:c r="L79" s="42" t="str">
        <x:v>INCENTIVE.READ</x:v>
      </x:c>
      <x:c r="M79" s="42" t="str">
        <x:v>incentive.bonus_calculation; incentive.revenue_share_statement</x:v>
      </x:c>
      <x:c r="N79" s="42" t="str">
        <x:v>/api/v1/bonus-calculations</x:v>
      </x:c>
      <x:c r="O79" s="42" t="str">
        <x:v>La catégorie est déterminée par règle et peut être corrigée avec validation.</x:v>
      </x:c>
      <x:c r="P79" s="42" t="str">
        <x:v>Obligatoire</x:v>
      </x:c>
      <x:c r="Q79" s="42" t="str">
        <x:v>Critique</x:v>
      </x:c>
      <x:c r="R79" s="42" t="str">
        <x:v>Unitaire; intégration; autorisation; audit; idempotence; concurrence</x:v>
      </x:c>
      <x:c r="S79" s="42" t="n">
        <x:v>8</x:v>
      </x:c>
      <x:c r="T79" s="42" t="str">
        <x:v>À affecter</x:v>
      </x:c>
      <x:c r="U79" s="42" t="str"/>
    </x:row>
    <x:row r="80">
      <x:c r="A80" s="42" t="str">
        <x:v>US-PRI-002</x:v>
      </x:c>
      <x:c r="B80" s="42" t="str">
        <x:v>PRI-002</x:v>
      </x:c>
      <x:c r="C80" s="42" t="str">
        <x:v>Primes et partage de revenus</x:v>
      </x:c>
      <x:c r="D80" s="42" t="str">
        <x:v>Calculer automatiquement la prime selon taux, base et plafonds</x:v>
      </x:c>
      <x:c r="E80" s="42" t="str">
        <x:v>Direction financière</x:v>
      </x:c>
      <x:c r="F80" s="42" t="str">
        <x:v>En tant que direction financière, je veux calculer automatiquement la prime selon taux, base et plafonds. afin de garantir le fonctionnement attendu du module primes et partage de revenus.</x:v>
      </x:c>
      <x:c r="G80" s="42" t="str">
        <x:v>Conformité métier, qualité de service et traçabilité.</x:v>
      </x:c>
      <x:c r="H80" s="42" t="str">
        <x:v>Must</x:v>
      </x:c>
      <x:c r="I80" s="42" t="str">
        <x:v>R2 - Portail et extension</x:v>
      </x:c>
      <x:c r="J80" s="42" t="str">
        <x:v>À faire</x:v>
      </x:c>
      <x:c r="K80" s="42" t="str">
        <x:v>Décisions ouvertes applicables; socle R0</x:v>
      </x:c>
      <x:c r="L80" s="42" t="str">
        <x:v>INCENTIVE.READ</x:v>
      </x:c>
      <x:c r="M80" s="42" t="str">
        <x:v>incentive.bonus_calculation; incentive.revenue_share_statement</x:v>
      </x:c>
      <x:c r="N80" s="42" t="str">
        <x:v>/api/v1/bonus-calculations</x:v>
      </x:c>
      <x:c r="O80" s="42" t="str">
        <x:v>Le détail de calcul est explicable et exportable.</x:v>
      </x:c>
      <x:c r="P80" s="42" t="str">
        <x:v>Obligatoire</x:v>
      </x:c>
      <x:c r="Q80" s="42" t="str">
        <x:v>Critique</x:v>
      </x:c>
      <x:c r="R80" s="42" t="str">
        <x:v>Unitaire; intégration; autorisation; audit; idempotence; concurrence</x:v>
      </x:c>
      <x:c r="S80" s="42" t="n">
        <x:v>8</x:v>
      </x:c>
      <x:c r="T80" s="42" t="str">
        <x:v>À affecter</x:v>
      </x:c>
      <x:c r="U80" s="42" t="str"/>
    </x:row>
    <x:row r="81">
      <x:c r="A81" s="42" t="str">
        <x:v>US-PRI-003</x:v>
      </x:c>
      <x:c r="B81" s="42" t="str">
        <x:v>PRI-003</x:v>
      </x:c>
      <x:c r="C81" s="42" t="str">
        <x:v>Primes et partage de revenus</x:v>
      </x:c>
      <x:c r="D81" s="42" t="str">
        <x:v>Gérer contestations, corrections et rétrocessions</x:v>
      </x:c>
      <x:c r="E81" s="42" t="str">
        <x:v>Direction financière</x:v>
      </x:c>
      <x:c r="F81" s="42" t="str">
        <x:v>En tant que direction financière, je veux gérer contestations, corrections et rétrocessions. afin de garantir le fonctionnement attendu du module primes et partage de revenus.</x:v>
      </x:c>
      <x:c r="G81" s="42" t="str">
        <x:v>Conformité métier, qualité de service et traçabilité.</x:v>
      </x:c>
      <x:c r="H81" s="42" t="str">
        <x:v>Must</x:v>
      </x:c>
      <x:c r="I81" s="42" t="str">
        <x:v>R2 - Portail et extension</x:v>
      </x:c>
      <x:c r="J81" s="42" t="str">
        <x:v>À faire</x:v>
      </x:c>
      <x:c r="K81" s="42" t="str">
        <x:v>Décisions ouvertes applicables; socle R0</x:v>
      </x:c>
      <x:c r="L81" s="42" t="str">
        <x:v>INCENTIVE.READ</x:v>
      </x:c>
      <x:c r="M81" s="42" t="str">
        <x:v>incentive.bonus_calculation; incentive.revenue_share_statement</x:v>
      </x:c>
      <x:c r="N81" s="42" t="str">
        <x:v>/api/v1/bonus-calculations</x:v>
      </x:c>
      <x:c r="O81" s="42" t="str">
        <x:v>Aucune suppression; les ajustements sont tracés.</x:v>
      </x:c>
      <x:c r="P81" s="42" t="str">
        <x:v>Obligatoire</x:v>
      </x:c>
      <x:c r="Q81" s="42" t="str">
        <x:v>Critique</x:v>
      </x:c>
      <x:c r="R81" s="42" t="str">
        <x:v>Unitaire; intégration; autorisation; audit; idempotence; concurrence</x:v>
      </x:c>
      <x:c r="S81" s="42" t="n">
        <x:v>8</x:v>
      </x:c>
      <x:c r="T81" s="42" t="str">
        <x:v>À affecter</x:v>
      </x:c>
      <x:c r="U81" s="42" t="str"/>
    </x:row>
    <x:row r="82">
      <x:c r="A82" s="42" t="str">
        <x:v>US-PRI-004</x:v>
      </x:c>
      <x:c r="B82" s="42" t="str">
        <x:v>PRI-004</x:v>
      </x:c>
      <x:c r="C82" s="42" t="str">
        <x:v>Primes et partage de revenus</x:v>
      </x:c>
      <x:c r="D82" s="42" t="str">
        <x:v>Produire un état mensuel soumis à commission de vérification</x:v>
      </x:c>
      <x:c r="E82" s="42" t="str">
        <x:v>Direction financière</x:v>
      </x:c>
      <x:c r="F82" s="42" t="str">
        <x:v>En tant que direction financière, je veux produire un état mensuel soumis à commission de vérification. afin de garantir le fonctionnement attendu du module primes et partage de revenus.</x:v>
      </x:c>
      <x:c r="G82" s="42" t="str">
        <x:v>Conformité métier, qualité de service et traçabilité.</x:v>
      </x:c>
      <x:c r="H82" s="42" t="str">
        <x:v>Must</x:v>
      </x:c>
      <x:c r="I82" s="42" t="str">
        <x:v>R2 - Portail et extension</x:v>
      </x:c>
      <x:c r="J82" s="42" t="str">
        <x:v>À faire</x:v>
      </x:c>
      <x:c r="K82" s="42" t="str">
        <x:v>Décisions ouvertes applicables; socle R0</x:v>
      </x:c>
      <x:c r="L82" s="42" t="str">
        <x:v>INCENTIVE.READ</x:v>
      </x:c>
      <x:c r="M82" s="42" t="str">
        <x:v>incentive.bonus_calculation; incentive.revenue_share_statement</x:v>
      </x:c>
      <x:c r="N82" s="42" t="str">
        <x:v>/api/v1/bonus-calculations</x:v>
      </x:c>
      <x:c r="O82" s="42" t="str">
        <x:v>État par agent, catégorie, membre, encaissement et montant.</x:v>
      </x:c>
      <x:c r="P82" s="42" t="str">
        <x:v>Obligatoire</x:v>
      </x:c>
      <x:c r="Q82" s="42" t="str">
        <x:v>Critique</x:v>
      </x:c>
      <x:c r="R82" s="42" t="str">
        <x:v>Unitaire; intégration; autorisation; audit; idempotence; concurrence</x:v>
      </x:c>
      <x:c r="S82" s="42" t="n">
        <x:v>8</x:v>
      </x:c>
      <x:c r="T82" s="42" t="str">
        <x:v>À affecter</x:v>
      </x:c>
      <x:c r="U82" s="42" t="str"/>
    </x:row>
    <x:row r="83">
      <x:c r="A83" s="42" t="str">
        <x:v>US-PRI-005</x:v>
      </x:c>
      <x:c r="B83" s="42" t="str">
        <x:v>PRI-005</x:v>
      </x:c>
      <x:c r="C83" s="42" t="str">
        <x:v>Primes et partage de revenus</x:v>
      </x:c>
      <x:c r="D83" s="42" t="str">
        <x:v>Valider puis figer la période de prime</x:v>
      </x:c>
      <x:c r="E83" s="42" t="str">
        <x:v>Direction financière</x:v>
      </x:c>
      <x:c r="F83" s="42" t="str">
        <x:v>En tant que direction financière, je veux valider puis figer la période de prime. afin de garantir le fonctionnement attendu du module primes et partage de revenus.</x:v>
      </x:c>
      <x:c r="G83" s="42" t="str">
        <x:v>Conformité métier, qualité de service et traçabilité.</x:v>
      </x:c>
      <x:c r="H83" s="42" t="str">
        <x:v>Must</x:v>
      </x:c>
      <x:c r="I83" s="42" t="str">
        <x:v>R2 - Portail et extension</x:v>
      </x:c>
      <x:c r="J83" s="42" t="str">
        <x:v>À faire</x:v>
      </x:c>
      <x:c r="K83" s="42" t="str">
        <x:v>Décisions ouvertes applicables; socle R0</x:v>
      </x:c>
      <x:c r="L83" s="42" t="str">
        <x:v>INCENTIVE.READ</x:v>
      </x:c>
      <x:c r="M83" s="42" t="str">
        <x:v>incentive.bonus_calculation; incentive.revenue_share_statement</x:v>
      </x:c>
      <x:c r="N83" s="42" t="str">
        <x:v>/api/v1/bonus-calculations</x:v>
      </x:c>
      <x:c r="O83" s="42" t="str">
        <x:v>Une période clôturée ne change que par réouverture autorisée.</x:v>
      </x:c>
      <x:c r="P83" s="42" t="str">
        <x:v>Obligatoire</x:v>
      </x:c>
      <x:c r="Q83" s="42" t="str">
        <x:v>Critique</x:v>
      </x:c>
      <x:c r="R83" s="42" t="str">
        <x:v>Unitaire; intégration; autorisation; audit; idempotence; concurrence</x:v>
      </x:c>
      <x:c r="S83" s="42" t="n">
        <x:v>8</x:v>
      </x:c>
      <x:c r="T83" s="42" t="str">
        <x:v>À affecter</x:v>
      </x:c>
      <x:c r="U83" s="42" t="str"/>
    </x:row>
    <x:row r="84">
      <x:c r="A84" s="42" t="str">
        <x:v>US-PRI-006</x:v>
      </x:c>
      <x:c r="B84" s="42" t="str">
        <x:v>PRI-006</x:v>
      </x:c>
      <x:c r="C84" s="42" t="str">
        <x:v>Primes et partage de revenus</x:v>
      </x:c>
      <x:c r="D84" s="42" t="str">
        <x:v>Calculer la rémunération du prestataire sur encaissements éligibles</x:v>
      </x:c>
      <x:c r="E84" s="42" t="str">
        <x:v>Direction financière</x:v>
      </x:c>
      <x:c r="F84" s="42" t="str">
        <x:v>En tant que direction financière, je veux calculer la rémunération du prestataire sur encaissements éligibles. afin de garantir le fonctionnement attendu du module primes et partage de revenus.</x:v>
      </x:c>
      <x:c r="G84" s="42" t="str">
        <x:v>Conformité métier, qualité de service et traçabilité.</x:v>
      </x:c>
      <x:c r="H84" s="42" t="str">
        <x:v>Must</x:v>
      </x:c>
      <x:c r="I84" s="42" t="str">
        <x:v>R2 - Portail et extension</x:v>
      </x:c>
      <x:c r="J84" s="42" t="str">
        <x:v>À faire</x:v>
      </x:c>
      <x:c r="K84" s="42" t="str">
        <x:v>Décisions ouvertes applicables; socle R0</x:v>
      </x:c>
      <x:c r="L84" s="42" t="str">
        <x:v>INCENTIVE.READ</x:v>
      </x:c>
      <x:c r="M84" s="42" t="str">
        <x:v>incentive.bonus_calculation; incentive.revenue_share_statement</x:v>
      </x:c>
      <x:c r="N84" s="42" t="str">
        <x:v>/api/v1/bonus-calculations</x:v>
      </x:c>
      <x:c r="O84" s="42" t="str">
        <x:v>Les cotisants maintenus sur l’ancien système sont exclus.</x:v>
      </x:c>
      <x:c r="P84" s="42" t="str">
        <x:v>Obligatoire</x:v>
      </x:c>
      <x:c r="Q84" s="42" t="str">
        <x:v>Critique</x:v>
      </x:c>
      <x:c r="R84" s="42" t="str">
        <x:v>Unitaire; intégration; autorisation; audit; idempotence; concurrence</x:v>
      </x:c>
      <x:c r="S84" s="42" t="n">
        <x:v>8</x:v>
      </x:c>
      <x:c r="T84" s="42" t="str">
        <x:v>À affecter</x:v>
      </x:c>
      <x:c r="U84" s="42" t="str"/>
    </x:row>
    <x:row r="85">
      <x:c r="A85" s="42" t="str">
        <x:v>US-PRI-007</x:v>
      </x:c>
      <x:c r="B85" s="42" t="str">
        <x:v>PRI-007</x:v>
      </x:c>
      <x:c r="C85" s="42" t="str">
        <x:v>Primes et partage de revenus</x:v>
      </x:c>
      <x:c r="D85" s="42" t="str">
        <x:v>Comparer encaissement brut, frais canal, prime et net CNPM</x:v>
      </x:c>
      <x:c r="E85" s="42" t="str">
        <x:v>Direction financière</x:v>
      </x:c>
      <x:c r="F85" s="42" t="str">
        <x:v>En tant que direction financière, je veux comparer encaissement brut, frais canal, prime et net CNPM. afin de garantir le fonctionnement attendu du module primes et partage de revenus.</x:v>
      </x:c>
      <x:c r="G85" s="42" t="str">
        <x:v>Conformité métier, qualité de service et traçabilité.</x:v>
      </x:c>
      <x:c r="H85" s="42" t="str">
        <x:v>Should</x:v>
      </x:c>
      <x:c r="I85" s="42" t="str">
        <x:v>R2 - Portail et extension</x:v>
      </x:c>
      <x:c r="J85" s="42" t="str">
        <x:v>À faire</x:v>
      </x:c>
      <x:c r="K85" s="42" t="str">
        <x:v>Décisions ouvertes applicables; socle R0</x:v>
      </x:c>
      <x:c r="L85" s="42" t="str">
        <x:v>INCENTIVE.READ</x:v>
      </x:c>
      <x:c r="M85" s="42" t="str">
        <x:v>incentive.bonus_calculation; incentive.revenue_share_statement</x:v>
      </x:c>
      <x:c r="N85" s="42" t="str">
        <x:v>/api/v1/bonus-calculations</x:v>
      </x:c>
      <x:c r="O85" s="42" t="str">
        <x:v>Le rapport de réconciliation détaille chaque composante.</x:v>
      </x:c>
      <x:c r="P85" s="42" t="str">
        <x:v>Obligatoire</x:v>
      </x:c>
      <x:c r="Q85" s="42" t="str">
        <x:v>Critique</x:v>
      </x:c>
      <x:c r="R85" s="42" t="str">
        <x:v>Unitaire; intégration; autorisation; audit; idempotence; concurrence</x:v>
      </x:c>
      <x:c r="S85" s="42" t="n">
        <x:v>5</x:v>
      </x:c>
      <x:c r="T85" s="42" t="str">
        <x:v>À affecter</x:v>
      </x:c>
      <x:c r="U85" s="42" t="str"/>
    </x:row>
    <x:row r="86">
      <x:c r="A86" s="42" t="str">
        <x:v>US-GED-001</x:v>
      </x:c>
      <x:c r="B86" s="42" t="str">
        <x:v>GED-001</x:v>
      </x:c>
      <x:c r="C86" s="42" t="str">
        <x:v>Gestion électronique des documents</x:v>
      </x:c>
      <x:c r="D86" s="42" t="str">
        <x:v>Stocker les documents avec type, version, date, auteur et confidentialité</x:v>
      </x:c>
      <x:c r="E86" s="42" t="str">
        <x:v>Utilisateur habilité</x:v>
      </x:c>
      <x:c r="F86" s="42" t="str">
        <x:v>En tant que utilisateur habilité, je veux stocker les documents avec type, version, date, auteur et confidentialité. afin de garantir le fonctionnement attendu du module gestion électronique des documents.</x:v>
      </x:c>
      <x:c r="G86" s="42" t="str">
        <x:v>Conformité métier, qualité de service et traçabilité.</x:v>
      </x:c>
      <x:c r="H86" s="42" t="str">
        <x:v>Must</x:v>
      </x:c>
      <x:c r="I86" s="42" t="str">
        <x:v>R2 - Portail et extension</x:v>
      </x:c>
      <x:c r="J86" s="42" t="str">
        <x:v>À faire</x:v>
      </x:c>
      <x:c r="K86" s="42" t="str">
        <x:v>Décisions ouvertes applicables; socle R0</x:v>
      </x:c>
      <x:c r="L86" s="42" t="str">
        <x:v>DOCUMENT.READ</x:v>
      </x:c>
      <x:c r="M86" s="42" t="str">
        <x:v>document.document; document.document_version</x:v>
      </x:c>
      <x:c r="N86" s="42" t="str">
        <x:v>/api/v1/documents</x:v>
      </x:c>
      <x:c r="O86" s="42" t="str">
        <x:v>Chaque document est rattaché à un objet métier et historisé.</x:v>
      </x:c>
      <x:c r="P86" s="42" t="str">
        <x:v>Obligatoire</x:v>
      </x:c>
      <x:c r="Q86" s="42" t="str">
        <x:v>Confidentiel</x:v>
      </x:c>
      <x:c r="R86" s="42" t="str">
        <x:v>Unitaire; intégration; autorisation; audit</x:v>
      </x:c>
      <x:c r="S86" s="42" t="n">
        <x:v>8</x:v>
      </x:c>
      <x:c r="T86" s="42" t="str">
        <x:v>À affecter</x:v>
      </x:c>
      <x:c r="U86" s="42" t="str"/>
    </x:row>
    <x:row r="87">
      <x:c r="A87" s="42" t="str">
        <x:v>US-GED-002</x:v>
      </x:c>
      <x:c r="B87" s="42" t="str">
        <x:v>GED-002</x:v>
      </x:c>
      <x:c r="C87" s="42" t="str">
        <x:v>Gestion électronique des documents</x:v>
      </x:c>
      <x:c r="D87" s="42" t="str">
        <x:v>Analyser les fichiers par antivirus et contrôler extensions/tailles</x:v>
      </x:c>
      <x:c r="E87" s="42" t="str">
        <x:v>Utilisateur habilité</x:v>
      </x:c>
      <x:c r="F87" s="42" t="str">
        <x:v>En tant que utilisateur habilité, je veux analyser les fichiers par antivirus et contrôler extensions/tailles. afin de garantir le fonctionnement attendu du module gestion électronique des documents.</x:v>
      </x:c>
      <x:c r="G87" s="42" t="str">
        <x:v>Conformité métier, qualité de service et traçabilité.</x:v>
      </x:c>
      <x:c r="H87" s="42" t="str">
        <x:v>Must</x:v>
      </x:c>
      <x:c r="I87" s="42" t="str">
        <x:v>R2 - Portail et extension</x:v>
      </x:c>
      <x:c r="J87" s="42" t="str">
        <x:v>À faire</x:v>
      </x:c>
      <x:c r="K87" s="42" t="str">
        <x:v>Décisions ouvertes applicables; socle R0</x:v>
      </x:c>
      <x:c r="L87" s="42" t="str">
        <x:v>DOCUMENT.READ</x:v>
      </x:c>
      <x:c r="M87" s="42" t="str">
        <x:v>document.document; document.document_version</x:v>
      </x:c>
      <x:c r="N87" s="42" t="str">
        <x:v>/api/v1/documents</x:v>
      </x:c>
      <x:c r="O87" s="42" t="str">
        <x:v>Un fichier dangereux est bloqué et l’incident journalisé.</x:v>
      </x:c>
      <x:c r="P87" s="42" t="str">
        <x:v>Obligatoire</x:v>
      </x:c>
      <x:c r="Q87" s="42" t="str">
        <x:v>Confidentiel</x:v>
      </x:c>
      <x:c r="R87" s="42" t="str">
        <x:v>Unitaire; intégration; autorisation; audit</x:v>
      </x:c>
      <x:c r="S87" s="42" t="n">
        <x:v>8</x:v>
      </x:c>
      <x:c r="T87" s="42" t="str">
        <x:v>À affecter</x:v>
      </x:c>
      <x:c r="U87" s="42" t="str"/>
    </x:row>
    <x:row r="88">
      <x:c r="A88" s="42" t="str">
        <x:v>US-GED-003</x:v>
      </x:c>
      <x:c r="B88" s="42" t="str">
        <x:v>GED-003</x:v>
      </x:c>
      <x:c r="C88" s="42" t="str">
        <x:v>Gestion électronique des documents</x:v>
      </x:c>
      <x:c r="D88" s="42" t="str">
        <x:v>Gérer expiration des pièces et alertes de renouvellement</x:v>
      </x:c>
      <x:c r="E88" s="42" t="str">
        <x:v>Utilisateur habilité</x:v>
      </x:c>
      <x:c r="F88" s="42" t="str">
        <x:v>En tant que utilisateur habilité, je veux gérer expiration des pièces et alertes de renouvellement. afin de garantir le fonctionnement attendu du module gestion électronique des documents.</x:v>
      </x:c>
      <x:c r="G88" s="42" t="str">
        <x:v>Conformité métier, qualité de service et traçabilité.</x:v>
      </x:c>
      <x:c r="H88" s="42" t="str">
        <x:v>Must</x:v>
      </x:c>
      <x:c r="I88" s="42" t="str">
        <x:v>R2 - Portail et extension</x:v>
      </x:c>
      <x:c r="J88" s="42" t="str">
        <x:v>À faire</x:v>
      </x:c>
      <x:c r="K88" s="42" t="str">
        <x:v>Décisions ouvertes applicables; socle R0</x:v>
      </x:c>
      <x:c r="L88" s="42" t="str">
        <x:v>DOCUMENT.READ</x:v>
      </x:c>
      <x:c r="M88" s="42" t="str">
        <x:v>document.document; document.document_version</x:v>
      </x:c>
      <x:c r="N88" s="42" t="str">
        <x:v>/api/v1/documents</x:v>
      </x:c>
      <x:c r="O88" s="42" t="str">
        <x:v>Le membre et le gestionnaire sont alertés avant échéance.</x:v>
      </x:c>
      <x:c r="P88" s="42" t="str">
        <x:v>Obligatoire</x:v>
      </x:c>
      <x:c r="Q88" s="42" t="str">
        <x:v>Confidentiel</x:v>
      </x:c>
      <x:c r="R88" s="42" t="str">
        <x:v>Unitaire; intégration; autorisation; audit</x:v>
      </x:c>
      <x:c r="S88" s="42" t="n">
        <x:v>8</x:v>
      </x:c>
      <x:c r="T88" s="42" t="str">
        <x:v>À affecter</x:v>
      </x:c>
      <x:c r="U88" s="42" t="str"/>
    </x:row>
    <x:row r="89">
      <x:c r="A89" s="42" t="str">
        <x:v>US-GED-004</x:v>
      </x:c>
      <x:c r="B89" s="42" t="str">
        <x:v>GED-004</x:v>
      </x:c>
      <x:c r="C89" s="42" t="str">
        <x:v>Gestion électronique des documents</x:v>
      </x:c>
      <x:c r="D89" s="42" t="str">
        <x:v>Appliquer des durées de conservation et gel légal</x:v>
      </x:c>
      <x:c r="E89" s="42" t="str">
        <x:v>Utilisateur habilité</x:v>
      </x:c>
      <x:c r="F89" s="42" t="str">
        <x:v>En tant que utilisateur habilité, je veux appliquer des durées de conservation et gel légal. afin de garantir le fonctionnement attendu du module gestion électronique des documents.</x:v>
      </x:c>
      <x:c r="G89" s="42" t="str">
        <x:v>Conformité métier, qualité de service et traçabilité.</x:v>
      </x:c>
      <x:c r="H89" s="42" t="str">
        <x:v>Should</x:v>
      </x:c>
      <x:c r="I89" s="42" t="str">
        <x:v>R2 - Portail et extension</x:v>
      </x:c>
      <x:c r="J89" s="42" t="str">
        <x:v>À faire</x:v>
      </x:c>
      <x:c r="K89" s="42" t="str">
        <x:v>Décisions ouvertes applicables; socle R0</x:v>
      </x:c>
      <x:c r="L89" s="42" t="str">
        <x:v>DOCUMENT.READ</x:v>
      </x:c>
      <x:c r="M89" s="42" t="str">
        <x:v>document.document; document.document_version</x:v>
      </x:c>
      <x:c r="N89" s="42" t="str">
        <x:v>/api/v1/documents</x:v>
      </x:c>
      <x:c r="O89" s="42" t="str">
        <x:v>La suppression respecte la politique et les litiges en cours.</x:v>
      </x:c>
      <x:c r="P89" s="42" t="str">
        <x:v>Selon action</x:v>
      </x:c>
      <x:c r="Q89" s="42" t="str">
        <x:v>Confidentiel</x:v>
      </x:c>
      <x:c r="R89" s="42" t="str">
        <x:v>Unitaire; intégration; autorisation; audit</x:v>
      </x:c>
      <x:c r="S89" s="42" t="n">
        <x:v>5</x:v>
      </x:c>
      <x:c r="T89" s="42" t="str">
        <x:v>À affecter</x:v>
      </x:c>
      <x:c r="U89" s="42" t="str"/>
    </x:row>
    <x:row r="90">
      <x:c r="A90" s="42" t="str">
        <x:v>US-GED-005</x:v>
      </x:c>
      <x:c r="B90" s="42" t="str">
        <x:v>GED-005</x:v>
      </x:c>
      <x:c r="C90" s="42" t="str">
        <x:v>Gestion électronique des documents</x:v>
      </x:c>
      <x:c r="D90" s="42" t="str">
        <x:v>Rechercher par métadonnées et contenu OCR</x:v>
      </x:c>
      <x:c r="E90" s="42" t="str">
        <x:v>Utilisateur habilité</x:v>
      </x:c>
      <x:c r="F90" s="42" t="str">
        <x:v>En tant que utilisateur habilité, je veux rechercher par métadonnées et contenu OCR. afin de garantir le fonctionnement attendu du module gestion électronique des documents.</x:v>
      </x:c>
      <x:c r="G90" s="42" t="str">
        <x:v>Conformité métier, qualité de service et traçabilité.</x:v>
      </x:c>
      <x:c r="H90" s="42" t="str">
        <x:v>Could</x:v>
      </x:c>
      <x:c r="I90" s="42" t="str">
        <x:v>R2 - Portail et extension</x:v>
      </x:c>
      <x:c r="J90" s="42" t="str">
        <x:v>À faire</x:v>
      </x:c>
      <x:c r="K90" s="42" t="str">
        <x:v>Décisions ouvertes applicables; socle R0</x:v>
      </x:c>
      <x:c r="L90" s="42" t="str">
        <x:v>DOCUMENT.READ</x:v>
      </x:c>
      <x:c r="M90" s="42" t="str">
        <x:v>document.document; document.document_version</x:v>
      </x:c>
      <x:c r="N90" s="42" t="str">
        <x:v>/api/v1/documents</x:v>
      </x:c>
      <x:c r="O90" s="42" t="str">
        <x:v>Les scans lisibles deviennent interrogeables.</x:v>
      </x:c>
      <x:c r="P90" s="42" t="str">
        <x:v>Selon action</x:v>
      </x:c>
      <x:c r="Q90" s="42" t="str">
        <x:v>Confidentiel</x:v>
      </x:c>
      <x:c r="R90" s="42" t="str">
        <x:v>Unitaire; intégration; autorisation; audit</x:v>
      </x:c>
      <x:c r="S90" s="42" t="n">
        <x:v>3</x:v>
      </x:c>
      <x:c r="T90" s="42" t="str">
        <x:v>À affecter</x:v>
      </x:c>
      <x:c r="U90" s="42" t="str"/>
    </x:row>
    <x:row r="91">
      <x:c r="A91" s="42" t="str">
        <x:v>US-GED-006</x:v>
      </x:c>
      <x:c r="B91" s="42" t="str">
        <x:v>GED-006</x:v>
      </x:c>
      <x:c r="C91" s="42" t="str">
        <x:v>Gestion électronique des documents</x:v>
      </x:c>
      <x:c r="D91" s="42" t="str">
        <x:v>Générer les documents depuis des modèles approuvés</x:v>
      </x:c>
      <x:c r="E91" s="42" t="str">
        <x:v>Utilisateur habilité</x:v>
      </x:c>
      <x:c r="F91" s="42" t="str">
        <x:v>En tant que utilisateur habilité, je veux générer les documents depuis des modèles approuvés. afin de garantir le fonctionnement attendu du module gestion électronique des documents.</x:v>
      </x:c>
      <x:c r="G91" s="42" t="str">
        <x:v>Conformité métier, qualité de service et traçabilité.</x:v>
      </x:c>
      <x:c r="H91" s="42" t="str">
        <x:v>Must</x:v>
      </x:c>
      <x:c r="I91" s="42" t="str">
        <x:v>R2 - Portail et extension</x:v>
      </x:c>
      <x:c r="J91" s="42" t="str">
        <x:v>À faire</x:v>
      </x:c>
      <x:c r="K91" s="42" t="str">
        <x:v>Décisions ouvertes applicables; socle R0</x:v>
      </x:c>
      <x:c r="L91" s="42" t="str">
        <x:v>DOCUMENT.READ</x:v>
      </x:c>
      <x:c r="M91" s="42" t="str">
        <x:v>document.document; document.document_version</x:v>
      </x:c>
      <x:c r="N91" s="42" t="str">
        <x:v>/api/v1/documents</x:v>
      </x:c>
      <x:c r="O91" s="42" t="str">
        <x:v>Les données fusionnées sont contrôlées et le modèle versionné.</x:v>
      </x:c>
      <x:c r="P91" s="42" t="str">
        <x:v>Obligatoire</x:v>
      </x:c>
      <x:c r="Q91" s="42" t="str">
        <x:v>Confidentiel</x:v>
      </x:c>
      <x:c r="R91" s="42" t="str">
        <x:v>Unitaire; intégration; autorisation; audit</x:v>
      </x:c>
      <x:c r="S91" s="42" t="n">
        <x:v>8</x:v>
      </x:c>
      <x:c r="T91" s="42" t="str">
        <x:v>À affecter</x:v>
      </x:c>
      <x:c r="U91" s="42" t="str"/>
    </x:row>
    <x:row r="92">
      <x:c r="A92" s="42" t="str">
        <x:v>US-EVT-001</x:v>
      </x:c>
      <x:c r="B92" s="42" t="str">
        <x:v>EVT-001</x:v>
      </x:c>
      <x:c r="C92" s="42" t="str">
        <x:v>Événements et formations</x:v>
      </x:c>
      <x:c r="D92" s="42" t="str">
        <x:v>Créer événements, sessions, capacités, lieux et publics cibles</x:v>
      </x:c>
      <x:c r="E92" s="42" t="str">
        <x:v>Gestionnaire événements</x:v>
      </x:c>
      <x:c r="F92" s="42" t="str">
        <x:v>En tant que gestionnaire événements, je veux créer événements, sessions, capacités, lieux et publics cibles. afin de garantir le fonctionnement attendu du module événements et formations.</x:v>
      </x:c>
      <x:c r="G92" s="42" t="str">
        <x:v>Conformité métier, qualité de service et traçabilité.</x:v>
      </x:c>
      <x:c r="H92" s="42" t="str">
        <x:v>Should</x:v>
      </x:c>
      <x:c r="I92" s="42" t="str">
        <x:v>R3 - Services premium</x:v>
      </x:c>
      <x:c r="J92" s="42" t="str">
        <x:v>À faire</x:v>
      </x:c>
      <x:c r="K92" s="42" t="str">
        <x:v>Décisions ouvertes applicables; socle R0</x:v>
      </x:c>
      <x:c r="L92" s="42" t="str">
        <x:v>EVENT.WRITE</x:v>
      </x:c>
      <x:c r="M92" s="42" t="str">
        <x:v>event.event; event.registration</x:v>
      </x:c>
      <x:c r="N92" s="42" t="str">
        <x:v>/api/v1/events</x:v>
      </x:c>
      <x:c r="O92" s="42" t="str">
        <x:v>Les inscriptions sont limitées selon critères et capacité.</x:v>
      </x:c>
      <x:c r="P92" s="42" t="str">
        <x:v>Selon action</x:v>
      </x:c>
      <x:c r="Q92" s="42" t="str">
        <x:v>Interne</x:v>
      </x:c>
      <x:c r="R92" s="42" t="str">
        <x:v>Unitaire; intégration; autorisation; audit; E2E; accessibilité</x:v>
      </x:c>
      <x:c r="S92" s="42" t="n">
        <x:v>5</x:v>
      </x:c>
      <x:c r="T92" s="42" t="str">
        <x:v>À affecter</x:v>
      </x:c>
      <x:c r="U92" s="42" t="str"/>
    </x:row>
    <x:row r="93">
      <x:c r="A93" s="42" t="str">
        <x:v>US-EVT-002</x:v>
      </x:c>
      <x:c r="B93" s="42" t="str">
        <x:v>EVT-002</x:v>
      </x:c>
      <x:c r="C93" s="42" t="str">
        <x:v>Événements et formations</x:v>
      </x:c>
      <x:c r="D93" s="42" t="str">
        <x:v>Permettre l’inscription des représentants du membre</x:v>
      </x:c>
      <x:c r="E93" s="42" t="str">
        <x:v>Gestionnaire événements</x:v>
      </x:c>
      <x:c r="F93" s="42" t="str">
        <x:v>En tant que gestionnaire événements, je veux permettre l’inscription des représentants du membre. afin de garantir le fonctionnement attendu du module événements et formations.</x:v>
      </x:c>
      <x:c r="G93" s="42" t="str">
        <x:v>Conformité métier, qualité de service et traçabilité.</x:v>
      </x:c>
      <x:c r="H93" s="42" t="str">
        <x:v>Should</x:v>
      </x:c>
      <x:c r="I93" s="42" t="str">
        <x:v>R3 - Services premium</x:v>
      </x:c>
      <x:c r="J93" s="42" t="str">
        <x:v>À faire</x:v>
      </x:c>
      <x:c r="K93" s="42" t="str">
        <x:v>Décisions ouvertes applicables; socle R0</x:v>
      </x:c>
      <x:c r="L93" s="42" t="str">
        <x:v>EVENT.WRITE</x:v>
      </x:c>
      <x:c r="M93" s="42" t="str">
        <x:v>event.event; event.registration</x:v>
      </x:c>
      <x:c r="N93" s="42" t="str">
        <x:v>/api/v1/events</x:v>
      </x:c>
      <x:c r="O93" s="42" t="str">
        <x:v>Confirmation et QR individuel générés.</x:v>
      </x:c>
      <x:c r="P93" s="42" t="str">
        <x:v>Selon action</x:v>
      </x:c>
      <x:c r="Q93" s="42" t="str">
        <x:v>Interne</x:v>
      </x:c>
      <x:c r="R93" s="42" t="str">
        <x:v>Unitaire; intégration; autorisation; audit; E2E; accessibilité</x:v>
      </x:c>
      <x:c r="S93" s="42" t="n">
        <x:v>5</x:v>
      </x:c>
      <x:c r="T93" s="42" t="str">
        <x:v>À affecter</x:v>
      </x:c>
      <x:c r="U93" s="42" t="str"/>
    </x:row>
    <x:row r="94">
      <x:c r="A94" s="42" t="str">
        <x:v>US-EVT-003</x:v>
      </x:c>
      <x:c r="B94" s="42" t="str">
        <x:v>EVT-003</x:v>
      </x:c>
      <x:c r="C94" s="42" t="str">
        <x:v>Événements et formations</x:v>
      </x:c>
      <x:c r="D94" s="42" t="str">
        <x:v>Gérer présence, certificat et satisfaction</x:v>
      </x:c>
      <x:c r="E94" s="42" t="str">
        <x:v>Gestionnaire événements</x:v>
      </x:c>
      <x:c r="F94" s="42" t="str">
        <x:v>En tant que gestionnaire événements, je veux gérer présence, certificat et satisfaction. afin de garantir le fonctionnement attendu du module événements et formations.</x:v>
      </x:c>
      <x:c r="G94" s="42" t="str">
        <x:v>Conformité métier, qualité de service et traçabilité.</x:v>
      </x:c>
      <x:c r="H94" s="42" t="str">
        <x:v>Could</x:v>
      </x:c>
      <x:c r="I94" s="42" t="str">
        <x:v>R3 - Services premium</x:v>
      </x:c>
      <x:c r="J94" s="42" t="str">
        <x:v>À faire</x:v>
      </x:c>
      <x:c r="K94" s="42" t="str">
        <x:v>Décisions ouvertes applicables; socle R0</x:v>
      </x:c>
      <x:c r="L94" s="42" t="str">
        <x:v>EVENT.WRITE</x:v>
      </x:c>
      <x:c r="M94" s="42" t="str">
        <x:v>event.event; event.registration</x:v>
      </x:c>
      <x:c r="N94" s="42" t="str">
        <x:v>/api/v1/events</x:v>
      </x:c>
      <x:c r="O94" s="42" t="str">
        <x:v>La participation alimente l’indicateur d’engagement membre.</x:v>
      </x:c>
      <x:c r="P94" s="42" t="str">
        <x:v>Selon action</x:v>
      </x:c>
      <x:c r="Q94" s="42" t="str">
        <x:v>Interne</x:v>
      </x:c>
      <x:c r="R94" s="42" t="str">
        <x:v>Unitaire; intégration; autorisation; audit; E2E; accessibilité</x:v>
      </x:c>
      <x:c r="S94" s="42" t="n">
        <x:v>3</x:v>
      </x:c>
      <x:c r="T94" s="42" t="str">
        <x:v>À affecter</x:v>
      </x:c>
      <x:c r="U94" s="42" t="str"/>
    </x:row>
    <x:row r="95">
      <x:c r="A95" s="42" t="str">
        <x:v>US-EVT-004</x:v>
      </x:c>
      <x:c r="B95" s="42" t="str">
        <x:v>EVT-004</x:v>
      </x:c>
      <x:c r="C95" s="42" t="str">
        <x:v>Événements et formations</x:v>
      </x:c>
      <x:c r="D95" s="42" t="str">
        <x:v>Publier actualités et documents ciblés</x:v>
      </x:c>
      <x:c r="E95" s="42" t="str">
        <x:v>Gestionnaire événements</x:v>
      </x:c>
      <x:c r="F95" s="42" t="str">
        <x:v>En tant que gestionnaire événements, je veux publier actualités et documents ciblés. afin de garantir le fonctionnement attendu du module événements et formations.</x:v>
      </x:c>
      <x:c r="G95" s="42" t="str">
        <x:v>Conformité métier, qualité de service et traçabilité.</x:v>
      </x:c>
      <x:c r="H95" s="42" t="str">
        <x:v>Should</x:v>
      </x:c>
      <x:c r="I95" s="42" t="str">
        <x:v>R3 - Services premium</x:v>
      </x:c>
      <x:c r="J95" s="42" t="str">
        <x:v>À faire</x:v>
      </x:c>
      <x:c r="K95" s="42" t="str">
        <x:v>Décisions ouvertes applicables; socle R0</x:v>
      </x:c>
      <x:c r="L95" s="42" t="str">
        <x:v>EVENT.WRITE</x:v>
      </x:c>
      <x:c r="M95" s="42" t="str">
        <x:v>event.event; event.registration</x:v>
      </x:c>
      <x:c r="N95" s="42" t="str">
        <x:v>/api/v1/events</x:v>
      </x:c>
      <x:c r="O95" s="42" t="str">
        <x:v>Le contenu peut être public, réservé ou limité à un segment.</x:v>
      </x:c>
      <x:c r="P95" s="42" t="str">
        <x:v>Selon action</x:v>
      </x:c>
      <x:c r="Q95" s="42" t="str">
        <x:v>Interne</x:v>
      </x:c>
      <x:c r="R95" s="42" t="str">
        <x:v>Unitaire; intégration; autorisation; audit; E2E; accessibilité</x:v>
      </x:c>
      <x:c r="S95" s="42" t="n">
        <x:v>5</x:v>
      </x:c>
      <x:c r="T95" s="42" t="str">
        <x:v>À affecter</x:v>
      </x:c>
      <x:c r="U95" s="42" t="str"/>
    </x:row>
    <x:row r="96">
      <x:c r="A96" s="42" t="str">
        <x:v>US-BI-001</x:v>
      </x:c>
      <x:c r="B96" s="42" t="str">
        <x:v>BI-001</x:v>
      </x:c>
      <x:c r="C96" s="42" t="str">
        <x:v>Décisionnel et reporting</x:v>
      </x:c>
      <x:c r="D96" s="42" t="str">
        <x:v>Filtrer par période, exercice, membre, catégorie, secteur, groupement et canal</x:v>
      </x:c>
      <x:c r="E96" s="42" t="str">
        <x:v>Direction / Analyste</x:v>
      </x:c>
      <x:c r="F96" s="42" t="str">
        <x:v>En tant que direction / analyste, je veux filtrer par période, exercice, membre, catégorie, secteur, groupement et canal. afin de garantir le fonctionnement attendu du module décisionnel et reporting.</x:v>
      </x:c>
      <x:c r="G96" s="42" t="str">
        <x:v>Conformité métier, qualité de service et traçabilité.</x:v>
      </x:c>
      <x:c r="H96" s="42" t="str">
        <x:v>Must</x:v>
      </x:c>
      <x:c r="I96" s="42" t="str">
        <x:v>R3 - Services premium</x:v>
      </x:c>
      <x:c r="J96" s="42" t="str">
        <x:v>À faire</x:v>
      </x:c>
      <x:c r="K96" s="42" t="str">
        <x:v>Décisions ouvertes applicables; socle R0</x:v>
      </x:c>
      <x:c r="L96" s="42" t="str">
        <x:v>REPORT.OPERATIONAL.READ</x:v>
      </x:c>
      <x:c r="M96" s="42" t="str">
        <x:v>reporting.report_definition; reporting.report_execution</x:v>
      </x:c>
      <x:c r="N96" s="42" t="str">
        <x:v>/api/v1/reports</x:v>
      </x:c>
      <x:c r="O96" s="42" t="str">
        <x:v>Les filtres s’appliquent à tous les visuels cohérents.</x:v>
      </x:c>
      <x:c r="P96" s="42" t="str">
        <x:v>Obligatoire</x:v>
      </x:c>
      <x:c r="Q96" s="42" t="str">
        <x:v>Interne</x:v>
      </x:c>
      <x:c r="R96" s="42" t="str">
        <x:v>Unitaire; intégration; autorisation; audit</x:v>
      </x:c>
      <x:c r="S96" s="42" t="n">
        <x:v>8</x:v>
      </x:c>
      <x:c r="T96" s="42" t="str">
        <x:v>À affecter</x:v>
      </x:c>
      <x:c r="U96" s="42" t="str"/>
    </x:row>
    <x:row r="97">
      <x:c r="A97" s="42" t="str">
        <x:v>US-BI-002</x:v>
      </x:c>
      <x:c r="B97" s="42" t="str">
        <x:v>BI-002</x:v>
      </x:c>
      <x:c r="C97" s="42" t="str">
        <x:v>Décisionnel et reporting</x:v>
      </x:c>
      <x:c r="D97" s="42" t="str">
        <x:v>Naviguer du KPI agrégé jusqu’à la transaction autorisée</x:v>
      </x:c>
      <x:c r="E97" s="42" t="str">
        <x:v>Direction / Analyste</x:v>
      </x:c>
      <x:c r="F97" s="42" t="str">
        <x:v>En tant que direction / analyste, je veux naviguer du KPI agrégé jusqu’à la transaction autorisée. afin de garantir le fonctionnement attendu du module décisionnel et reporting.</x:v>
      </x:c>
      <x:c r="G97" s="42" t="str">
        <x:v>Conformité métier, qualité de service et traçabilité.</x:v>
      </x:c>
      <x:c r="H97" s="42" t="str">
        <x:v>Must</x:v>
      </x:c>
      <x:c r="I97" s="42" t="str">
        <x:v>R3 - Services premium</x:v>
      </x:c>
      <x:c r="J97" s="42" t="str">
        <x:v>À faire</x:v>
      </x:c>
      <x:c r="K97" s="42" t="str">
        <x:v>Décisions ouvertes applicables; socle R0</x:v>
      </x:c>
      <x:c r="L97" s="42" t="str">
        <x:v>REPORT.OPERATIONAL.READ</x:v>
      </x:c>
      <x:c r="M97" s="42" t="str">
        <x:v>reporting.report_definition; reporting.report_execution</x:v>
      </x:c>
      <x:c r="N97" s="42" t="str">
        <x:v>/api/v1/reports</x:v>
      </x:c>
      <x:c r="O97" s="42" t="str">
        <x:v>Le drill-down respecte les habilitations et masque les données sensibles.</x:v>
      </x:c>
      <x:c r="P97" s="42" t="str">
        <x:v>Obligatoire</x:v>
      </x:c>
      <x:c r="Q97" s="42" t="str">
        <x:v>Interne</x:v>
      </x:c>
      <x:c r="R97" s="42" t="str">
        <x:v>Unitaire; intégration; autorisation; audit</x:v>
      </x:c>
      <x:c r="S97" s="42" t="n">
        <x:v>8</x:v>
      </x:c>
      <x:c r="T97" s="42" t="str">
        <x:v>À affecter</x:v>
      </x:c>
      <x:c r="U97" s="42" t="str"/>
    </x:row>
    <x:row r="98">
      <x:c r="A98" s="42" t="str">
        <x:v>US-BI-003</x:v>
      </x:c>
      <x:c r="B98" s="42" t="str">
        <x:v>BI-003</x:v>
      </x:c>
      <x:c r="C98" s="42" t="str">
        <x:v>Décisionnel et reporting</x:v>
      </x:c>
      <x:c r="D98" s="42" t="str">
        <x:v>Exporter en Excel, PDF et CSV avec horodatage</x:v>
      </x:c>
      <x:c r="E98" s="42" t="str">
        <x:v>Direction / Analyste</x:v>
      </x:c>
      <x:c r="F98" s="42" t="str">
        <x:v>En tant que direction / analyste, je veux exporter en Excel, PDF et CSV avec horodatage. afin de garantir le fonctionnement attendu du module décisionnel et reporting.</x:v>
      </x:c>
      <x:c r="G98" s="42" t="str">
        <x:v>Conformité métier, qualité de service et traçabilité.</x:v>
      </x:c>
      <x:c r="H98" s="42" t="str">
        <x:v>Must</x:v>
      </x:c>
      <x:c r="I98" s="42" t="str">
        <x:v>R3 - Services premium</x:v>
      </x:c>
      <x:c r="J98" s="42" t="str">
        <x:v>À faire</x:v>
      </x:c>
      <x:c r="K98" s="42" t="str">
        <x:v>Décisions ouvertes applicables; socle R0</x:v>
      </x:c>
      <x:c r="L98" s="42" t="str">
        <x:v>REPORT.OPERATIONAL.READ</x:v>
      </x:c>
      <x:c r="M98" s="42" t="str">
        <x:v>reporting.report_definition; reporting.report_execution</x:v>
      </x:c>
      <x:c r="N98" s="42" t="str">
        <x:v>/api/v1/reports</x:v>
      </x:c>
      <x:c r="O98" s="42" t="str">
        <x:v>L’export conserve filtres, auteur et date.</x:v>
      </x:c>
      <x:c r="P98" s="42" t="str">
        <x:v>Obligatoire</x:v>
      </x:c>
      <x:c r="Q98" s="42" t="str">
        <x:v>Interne</x:v>
      </x:c>
      <x:c r="R98" s="42" t="str">
        <x:v>Unitaire; intégration; autorisation; audit</x:v>
      </x:c>
      <x:c r="S98" s="42" t="n">
        <x:v>8</x:v>
      </x:c>
      <x:c r="T98" s="42" t="str">
        <x:v>À affecter</x:v>
      </x:c>
      <x:c r="U98" s="42" t="str"/>
    </x:row>
    <x:row r="99">
      <x:c r="A99" s="42" t="str">
        <x:v>US-BI-004</x:v>
      </x:c>
      <x:c r="B99" s="42" t="str">
        <x:v>BI-004</x:v>
      </x:c>
      <x:c r="C99" s="42" t="str">
        <x:v>Décisionnel et reporting</x:v>
      </x:c>
      <x:c r="D99" s="42" t="str">
        <x:v>Programmer l’envoi de rapports aux destinataires autorisés</x:v>
      </x:c>
      <x:c r="E99" s="42" t="str">
        <x:v>Direction / Analyste</x:v>
      </x:c>
      <x:c r="F99" s="42" t="str">
        <x:v>En tant que direction / analyste, je veux programmer l’envoi de rapports aux destinataires autorisés. afin de garantir le fonctionnement attendu du module décisionnel et reporting.</x:v>
      </x:c>
      <x:c r="G99" s="42" t="str">
        <x:v>Conformité métier, qualité de service et traçabilité.</x:v>
      </x:c>
      <x:c r="H99" s="42" t="str">
        <x:v>Should</x:v>
      </x:c>
      <x:c r="I99" s="42" t="str">
        <x:v>R3 - Services premium</x:v>
      </x:c>
      <x:c r="J99" s="42" t="str">
        <x:v>À faire</x:v>
      </x:c>
      <x:c r="K99" s="42" t="str">
        <x:v>Décisions ouvertes applicables; socle R0</x:v>
      </x:c>
      <x:c r="L99" s="42" t="str">
        <x:v>REPORT.OPERATIONAL.READ</x:v>
      </x:c>
      <x:c r="M99" s="42" t="str">
        <x:v>reporting.report_definition; reporting.report_execution</x:v>
      </x:c>
      <x:c r="N99" s="42" t="str">
        <x:v>/api/v1/reports</x:v>
      </x:c>
      <x:c r="O99" s="42" t="str">
        <x:v>Fréquence, format, filtre et durée de validité configurables.</x:v>
      </x:c>
      <x:c r="P99" s="42" t="str">
        <x:v>Selon action</x:v>
      </x:c>
      <x:c r="Q99" s="42" t="str">
        <x:v>Interne</x:v>
      </x:c>
      <x:c r="R99" s="42" t="str">
        <x:v>Unitaire; intégration; autorisation; audit</x:v>
      </x:c>
      <x:c r="S99" s="42" t="n">
        <x:v>5</x:v>
      </x:c>
      <x:c r="T99" s="42" t="str">
        <x:v>À affecter</x:v>
      </x:c>
      <x:c r="U99" s="42" t="str"/>
    </x:row>
    <x:row r="100">
      <x:c r="A100" s="42" t="str">
        <x:v>US-BI-005</x:v>
      </x:c>
      <x:c r="B100" s="42" t="str">
        <x:v>BI-005</x:v>
      </x:c>
      <x:c r="C100" s="42" t="str">
        <x:v>Décisionnel et reporting</x:v>
      </x:c>
      <x:c r="D100" s="42" t="str">
        <x:v>Définir objectifs et seuils d’alerte</x:v>
      </x:c>
      <x:c r="E100" s="42" t="str">
        <x:v>Direction / Analyste</x:v>
      </x:c>
      <x:c r="F100" s="42" t="str">
        <x:v>En tant que direction / analyste, je veux définir objectifs et seuils d’alerte. afin de garantir le fonctionnement attendu du module décisionnel et reporting.</x:v>
      </x:c>
      <x:c r="G100" s="42" t="str">
        <x:v>Conformité métier, qualité de service et traçabilité.</x:v>
      </x:c>
      <x:c r="H100" s="42" t="str">
        <x:v>Must</x:v>
      </x:c>
      <x:c r="I100" s="42" t="str">
        <x:v>R3 - Services premium</x:v>
      </x:c>
      <x:c r="J100" s="42" t="str">
        <x:v>À faire</x:v>
      </x:c>
      <x:c r="K100" s="42" t="str">
        <x:v>Décisions ouvertes applicables; socle R0</x:v>
      </x:c>
      <x:c r="L100" s="42" t="str">
        <x:v>REPORT.OPERATIONAL.READ</x:v>
      </x:c>
      <x:c r="M100" s="42" t="str">
        <x:v>reporting.report_definition; reporting.report_execution</x:v>
      </x:c>
      <x:c r="N100" s="42" t="str">
        <x:v>/api/v1/reports</x:v>
      </x:c>
      <x:c r="O100" s="42" t="str">
        <x:v>Les alertes montrent écart, cause probable et lien vers détail.</x:v>
      </x:c>
      <x:c r="P100" s="42" t="str">
        <x:v>Obligatoire</x:v>
      </x:c>
      <x:c r="Q100" s="42" t="str">
        <x:v>Interne</x:v>
      </x:c>
      <x:c r="R100" s="42" t="str">
        <x:v>Unitaire; intégration; autorisation; audit</x:v>
      </x:c>
      <x:c r="S100" s="42" t="n">
        <x:v>8</x:v>
      </x:c>
      <x:c r="T100" s="42" t="str">
        <x:v>À affecter</x:v>
      </x:c>
      <x:c r="U100" s="42" t="str"/>
    </x:row>
    <x:row r="101">
      <x:c r="A101" s="42" t="str">
        <x:v>US-BI-006</x:v>
      </x:c>
      <x:c r="B101" s="42" t="str">
        <x:v>BI-006</x:v>
      </x:c>
      <x:c r="C101" s="42" t="str">
        <x:v>Décisionnel et reporting</x:v>
      </x:c>
      <x:c r="D101" s="42" t="str">
        <x:v>Afficher tendances, comparaisons N/N-1 et prévisions</x:v>
      </x:c>
      <x:c r="E101" s="42" t="str">
        <x:v>Direction / Analyste</x:v>
      </x:c>
      <x:c r="F101" s="42" t="str">
        <x:v>En tant que direction / analyste, je veux afficher tendances, comparaisons N/N-1 et prévisions. afin de garantir le fonctionnement attendu du module décisionnel et reporting.</x:v>
      </x:c>
      <x:c r="G101" s="42" t="str">
        <x:v>Conformité métier, qualité de service et traçabilité.</x:v>
      </x:c>
      <x:c r="H101" s="42" t="str">
        <x:v>Should</x:v>
      </x:c>
      <x:c r="I101" s="42" t="str">
        <x:v>R3 - Services premium</x:v>
      </x:c>
      <x:c r="J101" s="42" t="str">
        <x:v>À faire</x:v>
      </x:c>
      <x:c r="K101" s="42" t="str">
        <x:v>Décisions ouvertes applicables; socle R0</x:v>
      </x:c>
      <x:c r="L101" s="42" t="str">
        <x:v>REPORT.OPERATIONAL.READ</x:v>
      </x:c>
      <x:c r="M101" s="42" t="str">
        <x:v>reporting.report_definition; reporting.report_execution</x:v>
      </x:c>
      <x:c r="N101" s="42" t="str">
        <x:v>/api/v1/reports</x:v>
      </x:c>
      <x:c r="O101" s="42" t="str">
        <x:v>Les méthodes de prévision et marges d’incertitude sont documentées.</x:v>
      </x:c>
      <x:c r="P101" s="42" t="str">
        <x:v>Selon action</x:v>
      </x:c>
      <x:c r="Q101" s="42" t="str">
        <x:v>Interne</x:v>
      </x:c>
      <x:c r="R101" s="42" t="str">
        <x:v>Unitaire; intégration; autorisation; audit</x:v>
      </x:c>
      <x:c r="S101" s="42" t="n">
        <x:v>5</x:v>
      </x:c>
      <x:c r="T101" s="42" t="str">
        <x:v>À affecter</x:v>
      </x:c>
      <x:c r="U101" s="42" t="str"/>
    </x:row>
    <x:row r="102">
      <x:c r="A102" s="42" t="str">
        <x:v>US-BI-007</x:v>
      </x:c>
      <x:c r="B102" s="42" t="str">
        <x:v>BI-007</x:v>
      </x:c>
      <x:c r="C102" s="42" t="str">
        <x:v>Décisionnel et reporting</x:v>
      </x:c>
      <x:c r="D102" s="42" t="str">
        <x:v>Maintenir un dictionnaire des KPI</x:v>
      </x:c>
      <x:c r="E102" s="42" t="str">
        <x:v>Direction / Analyste</x:v>
      </x:c>
      <x:c r="F102" s="42" t="str">
        <x:v>En tant que direction / analyste, je veux maintenir un dictionnaire des KPI. afin de garantir le fonctionnement attendu du module décisionnel et reporting.</x:v>
      </x:c>
      <x:c r="G102" s="42" t="str">
        <x:v>Conformité métier, qualité de service et traçabilité.</x:v>
      </x:c>
      <x:c r="H102" s="42" t="str">
        <x:v>Must</x:v>
      </x:c>
      <x:c r="I102" s="42" t="str">
        <x:v>R3 - Services premium</x:v>
      </x:c>
      <x:c r="J102" s="42" t="str">
        <x:v>À faire</x:v>
      </x:c>
      <x:c r="K102" s="42" t="str">
        <x:v>Décisions ouvertes applicables; socle R0</x:v>
      </x:c>
      <x:c r="L102" s="42" t="str">
        <x:v>REPORT.OPERATIONAL.READ</x:v>
      </x:c>
      <x:c r="M102" s="42" t="str">
        <x:v>reporting.report_definition; reporting.report_execution</x:v>
      </x:c>
      <x:c r="N102" s="42" t="str">
        <x:v>/api/v1/reports</x:v>
      </x:c>
      <x:c r="O102" s="42" t="str">
        <x:v>Définition, formule, source, fréquence et propriétaire accessibles.</x:v>
      </x:c>
      <x:c r="P102" s="42" t="str">
        <x:v>Obligatoire</x:v>
      </x:c>
      <x:c r="Q102" s="42" t="str">
        <x:v>Interne</x:v>
      </x:c>
      <x:c r="R102" s="42" t="str">
        <x:v>Unitaire; intégration; autorisation; audit</x:v>
      </x:c>
      <x:c r="S102" s="42" t="n">
        <x:v>8</x:v>
      </x:c>
      <x:c r="T102" s="42" t="str">
        <x:v>À affecter</x:v>
      </x:c>
      <x:c r="U102" s="42" t="str"/>
    </x:row>
    <x:row r="103">
      <x:c r="A103" s="42" t="str">
        <x:v>US-BI-008</x:v>
      </x:c>
      <x:c r="B103" s="42" t="str">
        <x:v>BI-008</x:v>
      </x:c>
      <x:c r="C103" s="42" t="str">
        <x:v>Décisionnel et reporting</x:v>
      </x:c>
      <x:c r="D103" s="42" t="str">
        <x:v>Permettre des tableaux de bord personnalisés par rôle</x:v>
      </x:c>
      <x:c r="E103" s="42" t="str">
        <x:v>Direction / Analyste</x:v>
      </x:c>
      <x:c r="F103" s="42" t="str">
        <x:v>En tant que direction / analyste, je veux permettre des tableaux de bord personnalisés par rôle. afin de garantir le fonctionnement attendu du module décisionnel et reporting.</x:v>
      </x:c>
      <x:c r="G103" s="42" t="str">
        <x:v>Conformité métier, qualité de service et traçabilité.</x:v>
      </x:c>
      <x:c r="H103" s="42" t="str">
        <x:v>Could</x:v>
      </x:c>
      <x:c r="I103" s="42" t="str">
        <x:v>R3 - Services premium</x:v>
      </x:c>
      <x:c r="J103" s="42" t="str">
        <x:v>À faire</x:v>
      </x:c>
      <x:c r="K103" s="42" t="str">
        <x:v>Décisions ouvertes applicables; socle R0</x:v>
      </x:c>
      <x:c r="L103" s="42" t="str">
        <x:v>REPORT.OPERATIONAL.READ</x:v>
      </x:c>
      <x:c r="M103" s="42" t="str">
        <x:v>reporting.report_definition; reporting.report_execution</x:v>
      </x:c>
      <x:c r="N103" s="42" t="str">
        <x:v>/api/v1/reports</x:v>
      </x:c>
      <x:c r="O103" s="42" t="str">
        <x:v>L’utilisateur peut enregistrer sa vue sans modifier la vue institutionnelle.</x:v>
      </x:c>
      <x:c r="P103" s="42" t="str">
        <x:v>Selon action</x:v>
      </x:c>
      <x:c r="Q103" s="42" t="str">
        <x:v>Interne</x:v>
      </x:c>
      <x:c r="R103" s="42" t="str">
        <x:v>Unitaire; intégration; autorisation; audit</x:v>
      </x:c>
      <x:c r="S103" s="42" t="n">
        <x:v>3</x:v>
      </x:c>
      <x:c r="T103" s="42" t="str">
        <x:v>À affecter</x:v>
      </x:c>
      <x:c r="U103" s="42" t="str"/>
    </x:row>
    <x:row r="104">
      <x:c r="A104" s="42" t="str">
        <x:v>US-SEC-001</x:v>
      </x:c>
      <x:c r="B104" s="42" t="str">
        <x:v>SEC-001</x:v>
      </x:c>
      <x:c r="C104" s="42" t="str">
        <x:v>Sécurité et identité</x:v>
      </x:c>
      <x:c r="D104" s="42" t="str">
        <x:v>Imposer 2FA aux administrateurs, financiers et comptes sensibles</x:v>
      </x:c>
      <x:c r="E104" s="42" t="str">
        <x:v>Administrateur sécurité</x:v>
      </x:c>
      <x:c r="F104" s="42" t="str">
        <x:v>En tant que administrateur sécurité, je veux imposer 2FA aux administrateurs, financiers et comptes sensibles. afin de garantir le fonctionnement attendu du module sécurité et identité.</x:v>
      </x:c>
      <x:c r="G104" s="42" t="str">
        <x:v>Conformité métier, qualité de service et traçabilité.</x:v>
      </x:c>
      <x:c r="H104" s="42" t="str">
        <x:v>Must</x:v>
      </x:c>
      <x:c r="I104" s="42" t="str">
        <x:v>R0 - Fondations</x:v>
      </x:c>
      <x:c r="J104" s="42" t="str">
        <x:v>À faire</x:v>
      </x:c>
      <x:c r="K104" s="42" t="str">
        <x:v>Architecture et gouvernance approuvées</x:v>
      </x:c>
      <x:c r="L104" s="42" t="str">
        <x:v>IAM.ACCESS.REVIEW</x:v>
      </x:c>
      <x:c r="M104" s="42" t="str">
        <x:v>iam.user_account; iam.user_role; iam.mfa_registration</x:v>
      </x:c>
      <x:c r="N104" s="42" t="str">
        <x:v>/api/v1/users</x:v>
      </x:c>
      <x:c r="O104" s="42" t="str">
        <x:v>TOTP, application d’authentification ou OTP; SMS en secours contrôlé.</x:v>
      </x:c>
      <x:c r="P104" s="42" t="str">
        <x:v>Obligatoire</x:v>
      </x:c>
      <x:c r="Q104" s="42" t="str">
        <x:v>Critique</x:v>
      </x:c>
      <x:c r="R104" s="42" t="str">
        <x:v>Unitaire; intégration; autorisation; audit</x:v>
      </x:c>
      <x:c r="S104" s="42" t="n">
        <x:v>8</x:v>
      </x:c>
      <x:c r="T104" s="42" t="str">
        <x:v>À affecter</x:v>
      </x:c>
      <x:c r="U104" s="42" t="str"/>
    </x:row>
    <x:row r="105">
      <x:c r="A105" s="42" t="str">
        <x:v>US-SEC-002</x:v>
      </x:c>
      <x:c r="B105" s="42" t="str">
        <x:v>SEC-002</x:v>
      </x:c>
      <x:c r="C105" s="42" t="str">
        <x:v>Sécurité et identité</x:v>
      </x:c>
      <x:c r="D105" s="42" t="str">
        <x:v>Appliquer une authentification adaptative selon risque</x:v>
      </x:c>
      <x:c r="E105" s="42" t="str">
        <x:v>Administrateur sécurité</x:v>
      </x:c>
      <x:c r="F105" s="42" t="str">
        <x:v>En tant que administrateur sécurité, je veux appliquer une authentification adaptative selon risque. afin de garantir le fonctionnement attendu du module sécurité et identité.</x:v>
      </x:c>
      <x:c r="G105" s="42" t="str">
        <x:v>Conformité métier, qualité de service et traçabilité.</x:v>
      </x:c>
      <x:c r="H105" s="42" t="str">
        <x:v>Should</x:v>
      </x:c>
      <x:c r="I105" s="42" t="str">
        <x:v>R0 - Fondations</x:v>
      </x:c>
      <x:c r="J105" s="42" t="str">
        <x:v>À faire</x:v>
      </x:c>
      <x:c r="K105" s="42" t="str">
        <x:v>Architecture et gouvernance approuvées</x:v>
      </x:c>
      <x:c r="L105" s="42" t="str">
        <x:v>IAM.ACCESS.REVIEW</x:v>
      </x:c>
      <x:c r="M105" s="42" t="str">
        <x:v>iam.user_account; iam.user_role; iam.mfa_registration</x:v>
      </x:c>
      <x:c r="N105" s="42" t="str">
        <x:v>/api/v1/users</x:v>
      </x:c>
      <x:c r="O105" s="42" t="str">
        <x:v>Nouvel appareil, pays inhabituel ou action sensible déclenche une étape supplémentaire.</x:v>
      </x:c>
      <x:c r="P105" s="42" t="str">
        <x:v>Obligatoire</x:v>
      </x:c>
      <x:c r="Q105" s="42" t="str">
        <x:v>Critique</x:v>
      </x:c>
      <x:c r="R105" s="42" t="str">
        <x:v>Unitaire; intégration; autorisation; audit</x:v>
      </x:c>
      <x:c r="S105" s="42" t="n">
        <x:v>5</x:v>
      </x:c>
      <x:c r="T105" s="42" t="str">
        <x:v>À affecter</x:v>
      </x:c>
      <x:c r="U105" s="42" t="str"/>
    </x:row>
    <x:row r="106">
      <x:c r="A106" s="42" t="str">
        <x:v>US-SEC-003</x:v>
      </x:c>
      <x:c r="B106" s="42" t="str">
        <x:v>SEC-003</x:v>
      </x:c>
      <x:c r="C106" s="42" t="str">
        <x:v>Sécurité et identité</x:v>
      </x:c>
      <x:c r="D106" s="42" t="str">
        <x:v>Gérer politique de mot de passe, verrouillage et récupération sécurisée</x:v>
      </x:c>
      <x:c r="E106" s="42" t="str">
        <x:v>Administrateur sécurité</x:v>
      </x:c>
      <x:c r="F106" s="42" t="str">
        <x:v>En tant que administrateur sécurité, je veux gérer politique de mot de passe, verrouillage et récupération sécurisée. afin de garantir le fonctionnement attendu du module sécurité et identité.</x:v>
      </x:c>
      <x:c r="G106" s="42" t="str">
        <x:v>Conformité métier, qualité de service et traçabilité.</x:v>
      </x:c>
      <x:c r="H106" s="42" t="str">
        <x:v>Must</x:v>
      </x:c>
      <x:c r="I106" s="42" t="str">
        <x:v>R0 - Fondations</x:v>
      </x:c>
      <x:c r="J106" s="42" t="str">
        <x:v>À faire</x:v>
      </x:c>
      <x:c r="K106" s="42" t="str">
        <x:v>Architecture et gouvernance approuvées</x:v>
      </x:c>
      <x:c r="L106" s="42" t="str">
        <x:v>IAM.ACCESS.REVIEW</x:v>
      </x:c>
      <x:c r="M106" s="42" t="str">
        <x:v>iam.user_account; iam.user_role; iam.mfa_registration</x:v>
      </x:c>
      <x:c r="N106" s="42" t="str">
        <x:v>/api/v1/users</x:v>
      </x:c>
      <x:c r="O106" s="42" t="str">
        <x:v>La récupération ne révèle pas l’existence d’un compte.</x:v>
      </x:c>
      <x:c r="P106" s="42" t="str">
        <x:v>Obligatoire</x:v>
      </x:c>
      <x:c r="Q106" s="42" t="str">
        <x:v>Critique</x:v>
      </x:c>
      <x:c r="R106" s="42" t="str">
        <x:v>Unitaire; intégration; autorisation; audit</x:v>
      </x:c>
      <x:c r="S106" s="42" t="n">
        <x:v>8</x:v>
      </x:c>
      <x:c r="T106" s="42" t="str">
        <x:v>À affecter</x:v>
      </x:c>
      <x:c r="U106" s="42" t="str"/>
    </x:row>
    <x:row r="107">
      <x:c r="A107" s="42" t="str">
        <x:v>US-SEC-004</x:v>
      </x:c>
      <x:c r="B107" s="42" t="str">
        <x:v>SEC-004</x:v>
      </x:c>
      <x:c r="C107" s="42" t="str">
        <x:v>Sécurité et identité</x:v>
      </x:c>
      <x:c r="D107" s="42" t="str">
        <x:v>Révoquer sessions et appareils depuis le profil</x:v>
      </x:c>
      <x:c r="E107" s="42" t="str">
        <x:v>Administrateur sécurité</x:v>
      </x:c>
      <x:c r="F107" s="42" t="str">
        <x:v>En tant que administrateur sécurité, je veux révoquer sessions et appareils depuis le profil. afin de garantir le fonctionnement attendu du module sécurité et identité.</x:v>
      </x:c>
      <x:c r="G107" s="42" t="str">
        <x:v>Conformité métier, qualité de service et traçabilité.</x:v>
      </x:c>
      <x:c r="H107" s="42" t="str">
        <x:v>Should</x:v>
      </x:c>
      <x:c r="I107" s="42" t="str">
        <x:v>R0 - Fondations</x:v>
      </x:c>
      <x:c r="J107" s="42" t="str">
        <x:v>À faire</x:v>
      </x:c>
      <x:c r="K107" s="42" t="str">
        <x:v>Architecture et gouvernance approuvées</x:v>
      </x:c>
      <x:c r="L107" s="42" t="str">
        <x:v>IAM.ACCESS.REVIEW</x:v>
      </x:c>
      <x:c r="M107" s="42" t="str">
        <x:v>iam.user_account; iam.user_role; iam.mfa_registration</x:v>
      </x:c>
      <x:c r="N107" s="42" t="str">
        <x:v>/api/v1/users</x:v>
      </x:c>
      <x:c r="O107" s="42" t="str">
        <x:v>L’utilisateur voit les sessions actives et peut les fermer.</x:v>
      </x:c>
      <x:c r="P107" s="42" t="str">
        <x:v>Obligatoire</x:v>
      </x:c>
      <x:c r="Q107" s="42" t="str">
        <x:v>Critique</x:v>
      </x:c>
      <x:c r="R107" s="42" t="str">
        <x:v>Unitaire; intégration; autorisation; audit</x:v>
      </x:c>
      <x:c r="S107" s="42" t="n">
        <x:v>5</x:v>
      </x:c>
      <x:c r="T107" s="42" t="str">
        <x:v>À affecter</x:v>
      </x:c>
      <x:c r="U107" s="42" t="str"/>
    </x:row>
    <x:row r="108">
      <x:c r="A108" s="42" t="str">
        <x:v>US-SEC-005</x:v>
      </x:c>
      <x:c r="B108" s="42" t="str">
        <x:v>SEC-005</x:v>
      </x:c>
      <x:c r="C108" s="42" t="str">
        <x:v>Sécurité et identité</x:v>
      </x:c>
      <x:c r="D108" s="42" t="str">
        <x:v>Supporter SSO/OIDC pour les agents CNPM</x:v>
      </x:c>
      <x:c r="E108" s="42" t="str">
        <x:v>Administrateur sécurité</x:v>
      </x:c>
      <x:c r="F108" s="42" t="str">
        <x:v>En tant que administrateur sécurité, je veux supporter SSO/OIDC pour les agents CNPM. afin de garantir le fonctionnement attendu du module sécurité et identité.</x:v>
      </x:c>
      <x:c r="G108" s="42" t="str">
        <x:v>Conformité métier, qualité de service et traçabilité.</x:v>
      </x:c>
      <x:c r="H108" s="42" t="str">
        <x:v>Should</x:v>
      </x:c>
      <x:c r="I108" s="42" t="str">
        <x:v>R0 - Fondations</x:v>
      </x:c>
      <x:c r="J108" s="42" t="str">
        <x:v>À faire</x:v>
      </x:c>
      <x:c r="K108" s="42" t="str">
        <x:v>Architecture et gouvernance approuvées</x:v>
      </x:c>
      <x:c r="L108" s="42" t="str">
        <x:v>IAM.ACCESS.REVIEW</x:v>
      </x:c>
      <x:c r="M108" s="42" t="str">
        <x:v>iam.user_account; iam.user_role; iam.mfa_registration</x:v>
      </x:c>
      <x:c r="N108" s="42" t="str">
        <x:v>/api/v1/users</x:v>
      </x:c>
      <x:c r="O108" s="42" t="str">
        <x:v>Intégration à un fournisseur d’identité possible sans refonte.</x:v>
      </x:c>
      <x:c r="P108" s="42" t="str">
        <x:v>Obligatoire</x:v>
      </x:c>
      <x:c r="Q108" s="42" t="str">
        <x:v>Critique</x:v>
      </x:c>
      <x:c r="R108" s="42" t="str">
        <x:v>Unitaire; intégration; autorisation; audit</x:v>
      </x:c>
      <x:c r="S108" s="42" t="n">
        <x:v>5</x:v>
      </x:c>
      <x:c r="T108" s="42" t="str">
        <x:v>À affecter</x:v>
      </x:c>
      <x:c r="U108" s="42" t="str"/>
    </x:row>
    <x:row r="109">
      <x:c r="A109" s="42" t="str">
        <x:v>US-AUD-001</x:v>
      </x:c>
      <x:c r="B109" s="42" t="str">
        <x:v>AUD-001</x:v>
      </x:c>
      <x:c r="C109" s="42" t="str">
        <x:v>Audit et conformité</x:v>
      </x:c>
      <x:c r="D109" s="42" t="str">
        <x:v>Journaliser connexions, consultations sensibles, créations, modifications, validations et ex...</x:v>
      </x:c>
      <x:c r="E109" s="42" t="str">
        <x:v>Auditeur</x:v>
      </x:c>
      <x:c r="F109" s="42" t="str">
        <x:v>En tant que auditeur, je veux journaliser connexions, consultations sensibles, créations, modifications, validations et exports. afin de garantir le fonctionnement attendu du module audit et conformité.</x:v>
      </x:c>
      <x:c r="G109" s="42" t="str">
        <x:v>Conformité métier, qualité de service et traçabilité.</x:v>
      </x:c>
      <x:c r="H109" s="42" t="str">
        <x:v>Must</x:v>
      </x:c>
      <x:c r="I109" s="42" t="str">
        <x:v>R0 - Fondations</x:v>
      </x:c>
      <x:c r="J109" s="42" t="str">
        <x:v>À faire</x:v>
      </x:c>
      <x:c r="K109" s="42" t="str">
        <x:v>Architecture et gouvernance approuvées</x:v>
      </x:c>
      <x:c r="L109" s="42" t="str">
        <x:v>AUDIT.READ</x:v>
      </x:c>
      <x:c r="M109" s="42" t="str">
        <x:v>audit.audit_event; audit.security_event</x:v>
      </x:c>
      <x:c r="N109" s="42" t="str">
        <x:v>/api/v1/audit-events</x:v>
      </x:c>
      <x:c r="O109" s="42" t="str">
        <x:v>Événement, auteur, horodatage, objet, avant/après, IP/appareil et résultat.</x:v>
      </x:c>
      <x:c r="P109" s="42" t="str">
        <x:v>Obligatoire</x:v>
      </x:c>
      <x:c r="Q109" s="42" t="str">
        <x:v>Critique</x:v>
      </x:c>
      <x:c r="R109" s="42" t="str">
        <x:v>Unitaire; intégration; autorisation; audit</x:v>
      </x:c>
      <x:c r="S109" s="42" t="n">
        <x:v>8</x:v>
      </x:c>
      <x:c r="T109" s="42" t="str">
        <x:v>À affecter</x:v>
      </x:c>
      <x:c r="U109" s="42" t="str"/>
    </x:row>
    <x:row r="110">
      <x:c r="A110" s="42" t="str">
        <x:v>US-AUD-002</x:v>
      </x:c>
      <x:c r="B110" s="42" t="str">
        <x:v>AUD-002</x:v>
      </x:c>
      <x:c r="C110" s="42" t="str">
        <x:v>Audit et conformité</x:v>
      </x:c>
      <x:c r="D110" s="42" t="str">
        <x:v>Rendre les journaux inaltérables et consultables par l’auditeur</x:v>
      </x:c>
      <x:c r="E110" s="42" t="str">
        <x:v>Auditeur</x:v>
      </x:c>
      <x:c r="F110" s="42" t="str">
        <x:v>En tant que auditeur, je veux rendre les journaux inaltérables et consultables par l’auditeur. afin de garantir le fonctionnement attendu du module audit et conformité.</x:v>
      </x:c>
      <x:c r="G110" s="42" t="str">
        <x:v>Conformité métier, qualité de service et traçabilité.</x:v>
      </x:c>
      <x:c r="H110" s="42" t="str">
        <x:v>Must</x:v>
      </x:c>
      <x:c r="I110" s="42" t="str">
        <x:v>R0 - Fondations</x:v>
      </x:c>
      <x:c r="J110" s="42" t="str">
        <x:v>À faire</x:v>
      </x:c>
      <x:c r="K110" s="42" t="str">
        <x:v>Architecture et gouvernance approuvées</x:v>
      </x:c>
      <x:c r="L110" s="42" t="str">
        <x:v>AUDIT.READ</x:v>
      </x:c>
      <x:c r="M110" s="42" t="str">
        <x:v>audit.audit_event; audit.security_event</x:v>
      </x:c>
      <x:c r="N110" s="42" t="str">
        <x:v>/api/v1/audit-events</x:v>
      </x:c>
      <x:c r="O110" s="42" t="str">
        <x:v>Les utilisateurs opérationnels ne peuvent ni modifier ni supprimer.</x:v>
      </x:c>
      <x:c r="P110" s="42" t="str">
        <x:v>Obligatoire</x:v>
      </x:c>
      <x:c r="Q110" s="42" t="str">
        <x:v>Critique</x:v>
      </x:c>
      <x:c r="R110" s="42" t="str">
        <x:v>Unitaire; intégration; autorisation; audit</x:v>
      </x:c>
      <x:c r="S110" s="42" t="n">
        <x:v>8</x:v>
      </x:c>
      <x:c r="T110" s="42" t="str">
        <x:v>À affecter</x:v>
      </x:c>
      <x:c r="U110" s="42" t="str"/>
    </x:row>
    <x:row r="111">
      <x:c r="A111" s="42" t="str">
        <x:v>US-AUD-003</x:v>
      </x:c>
      <x:c r="B111" s="42" t="str">
        <x:v>AUD-003</x:v>
      </x:c>
      <x:c r="C111" s="42" t="str">
        <x:v>Audit et conformité</x:v>
      </x:c>
      <x:c r="D111" s="42" t="str">
        <x:v>Rechercher et exporter les événements pour une période</x:v>
      </x:c>
      <x:c r="E111" s="42" t="str">
        <x:v>Auditeur</x:v>
      </x:c>
      <x:c r="F111" s="42" t="str">
        <x:v>En tant que auditeur, je veux rechercher et exporter les événements pour une période. afin de garantir le fonctionnement attendu du module audit et conformité.</x:v>
      </x:c>
      <x:c r="G111" s="42" t="str">
        <x:v>Conformité métier, qualité de service et traçabilité.</x:v>
      </x:c>
      <x:c r="H111" s="42" t="str">
        <x:v>Must</x:v>
      </x:c>
      <x:c r="I111" s="42" t="str">
        <x:v>R0 - Fondations</x:v>
      </x:c>
      <x:c r="J111" s="42" t="str">
        <x:v>À faire</x:v>
      </x:c>
      <x:c r="K111" s="42" t="str">
        <x:v>Architecture et gouvernance approuvées</x:v>
      </x:c>
      <x:c r="L111" s="42" t="str">
        <x:v>AUDIT.READ</x:v>
      </x:c>
      <x:c r="M111" s="42" t="str">
        <x:v>audit.audit_event; audit.security_event</x:v>
      </x:c>
      <x:c r="N111" s="42" t="str">
        <x:v>/api/v1/audit-events</x:v>
      </x:c>
      <x:c r="O111" s="42" t="str">
        <x:v>Export signé/horodaté avec filtres et motif d’accès.</x:v>
      </x:c>
      <x:c r="P111" s="42" t="str">
        <x:v>Obligatoire</x:v>
      </x:c>
      <x:c r="Q111" s="42" t="str">
        <x:v>Critique</x:v>
      </x:c>
      <x:c r="R111" s="42" t="str">
        <x:v>Unitaire; intégration; autorisation; audit</x:v>
      </x:c>
      <x:c r="S111" s="42" t="n">
        <x:v>8</x:v>
      </x:c>
      <x:c r="T111" s="42" t="str">
        <x:v>À affecter</x:v>
      </x:c>
      <x:c r="U111" s="42" t="str"/>
    </x:row>
    <x:row r="112">
      <x:c r="A112" s="42" t="str">
        <x:v>US-AUD-004</x:v>
      </x:c>
      <x:c r="B112" s="42" t="str">
        <x:v>AUD-004</x:v>
      </x:c>
      <x:c r="C112" s="42" t="str">
        <x:v>Audit et conformité</x:v>
      </x:c>
      <x:c r="D112" s="42" t="str">
        <x:v>Déclencher alertes sur événements critiques</x:v>
      </x:c>
      <x:c r="E112" s="42" t="str">
        <x:v>Auditeur</x:v>
      </x:c>
      <x:c r="F112" s="42" t="str">
        <x:v>En tant que auditeur, je veux déclencher alertes sur événements critiques. afin de garantir le fonctionnement attendu du module audit et conformité.</x:v>
      </x:c>
      <x:c r="G112" s="42" t="str">
        <x:v>Conformité métier, qualité de service et traçabilité.</x:v>
      </x:c>
      <x:c r="H112" s="42" t="str">
        <x:v>Must</x:v>
      </x:c>
      <x:c r="I112" s="42" t="str">
        <x:v>R0 - Fondations</x:v>
      </x:c>
      <x:c r="J112" s="42" t="str">
        <x:v>À faire</x:v>
      </x:c>
      <x:c r="K112" s="42" t="str">
        <x:v>Architecture et gouvernance approuvées</x:v>
      </x:c>
      <x:c r="L112" s="42" t="str">
        <x:v>AUDIT.READ</x:v>
      </x:c>
      <x:c r="M112" s="42" t="str">
        <x:v>audit.audit_event; audit.security_event</x:v>
      </x:c>
      <x:c r="N112" s="42" t="str">
        <x:v>/api/v1/audit-events</x:v>
      </x:c>
      <x:c r="O112" s="42" t="str">
        <x:v>Exemples : compte privilégié, changement bancaire, export massif, échecs répétés.</x:v>
      </x:c>
      <x:c r="P112" s="42" t="str">
        <x:v>Obligatoire</x:v>
      </x:c>
      <x:c r="Q112" s="42" t="str">
        <x:v>Critique</x:v>
      </x:c>
      <x:c r="R112" s="42" t="str">
        <x:v>Unitaire; intégration; autorisation; audit</x:v>
      </x:c>
      <x:c r="S112" s="42" t="n">
        <x:v>8</x:v>
      </x:c>
      <x:c r="T112" s="42" t="str">
        <x:v>À affecter</x:v>
      </x:c>
      <x:c r="U112" s="42" t="str"/>
    </x:row>
    <x:row r="113">
      <x:c r="A113" s="42" t="str">
        <x:v>US-AUD-005</x:v>
      </x:c>
      <x:c r="B113" s="42" t="str">
        <x:v>AUD-005</x:v>
      </x:c>
      <x:c r="C113" s="42" t="str">
        <x:v>Audit et conformité</x:v>
      </x:c>
      <x:c r="D113" s="42" t="str">
        <x:v>Définir la durée de conservation par type de journal</x:v>
      </x:c>
      <x:c r="E113" s="42" t="str">
        <x:v>Auditeur</x:v>
      </x:c>
      <x:c r="F113" s="42" t="str">
        <x:v>En tant que auditeur, je veux définir la durée de conservation par type de journal. afin de garantir le fonctionnement attendu du module audit et conformité.</x:v>
      </x:c>
      <x:c r="G113" s="42" t="str">
        <x:v>Conformité métier, qualité de service et traçabilité.</x:v>
      </x:c>
      <x:c r="H113" s="42" t="str">
        <x:v>Should</x:v>
      </x:c>
      <x:c r="I113" s="42" t="str">
        <x:v>R0 - Fondations</x:v>
      </x:c>
      <x:c r="J113" s="42" t="str">
        <x:v>À faire</x:v>
      </x:c>
      <x:c r="K113" s="42" t="str">
        <x:v>Architecture et gouvernance approuvées</x:v>
      </x:c>
      <x:c r="L113" s="42" t="str">
        <x:v>AUDIT.READ</x:v>
      </x:c>
      <x:c r="M113" s="42" t="str">
        <x:v>audit.audit_event; audit.security_event</x:v>
      </x:c>
      <x:c r="N113" s="42" t="str">
        <x:v>/api/v1/audit-events</x:v>
      </x:c>
      <x:c r="O113" s="42" t="str">
        <x:v>La politique est paramétrable et conforme aux obligations applicables.</x:v>
      </x:c>
      <x:c r="P113" s="42" t="str">
        <x:v>Obligatoire</x:v>
      </x:c>
      <x:c r="Q113" s="42" t="str">
        <x:v>Critique</x:v>
      </x:c>
      <x:c r="R113" s="42" t="str">
        <x:v>Unitaire; intégration; autorisation; audit</x:v>
      </x:c>
      <x:c r="S113" s="42" t="n">
        <x:v>5</x:v>
      </x:c>
      <x:c r="T113" s="42" t="str">
        <x:v>À affecter</x:v>
      </x:c>
      <x:c r="U113" s="42" t="str"/>
    </x:row>
    <x:row r="114">
      <x:c r="A114" s="42" t="str">
        <x:v>US-INT-001</x:v>
      </x:c>
      <x:c r="B114" s="42" t="str">
        <x:v>INT-001</x:v>
      </x:c>
      <x:c r="C114" s="42" t="str">
        <x:v>Intégrations et interopérabilité</x:v>
      </x:c>
      <x:c r="D114" s="42" t="str">
        <x:v>Prévoir un identifiant de correspondance externe par entreprise</x:v>
      </x:c>
      <x:c r="E114" s="42" t="str">
        <x:v>Architecte intégration</x:v>
      </x:c>
      <x:c r="F114" s="42" t="str">
        <x:v>En tant que architecte intégration, je veux prévoir un identifiant de correspondance externe par entreprise. afin de garantir le fonctionnement attendu du module intégrations et interopérabilité.</x:v>
      </x:c>
      <x:c r="G114" s="42" t="str">
        <x:v>Conformité métier, qualité de service et traçabilité.</x:v>
      </x:c>
      <x:c r="H114" s="42" t="str">
        <x:v>Must</x:v>
      </x:c>
      <x:c r="I114" s="42" t="str">
        <x:v>R3 - Services premium</x:v>
      </x:c>
      <x:c r="J114" s="42" t="str">
        <x:v>À faire</x:v>
      </x:c>
      <x:c r="K114" s="42" t="str">
        <x:v>Décisions ouvertes applicables; socle R0</x:v>
      </x:c>
      <x:c r="L114" s="42" t="str">
        <x:v>INTEGRATION.CONFIG.WRITE</x:v>
      </x:c>
      <x:c r="M114" s="42" t="str">
        <x:v>integration.partner; integration.outbox_event</x:v>
      </x:c>
      <x:c r="N114" s="42" t="str">
        <x:v>/api/v1/integrations</x:v>
      </x:c>
      <x:c r="O114" s="42" t="str">
        <x:v>Plusieurs identifiants externes peuvent être liés sans remplacer l’ID CNPM.</x:v>
      </x:c>
      <x:c r="P114" s="42" t="str">
        <x:v>Obligatoire</x:v>
      </x:c>
      <x:c r="Q114" s="42" t="str">
        <x:v>Interne</x:v>
      </x:c>
      <x:c r="R114" s="42" t="str">
        <x:v>Unitaire; intégration; autorisation; audit; idempotence; concurrence</x:v>
      </x:c>
      <x:c r="S114" s="42" t="n">
        <x:v>8</x:v>
      </x:c>
      <x:c r="T114" s="42" t="str">
        <x:v>À affecter</x:v>
      </x:c>
      <x:c r="U114" s="42" t="str"/>
    </x:row>
    <x:row r="115">
      <x:c r="A115" s="42" t="str">
        <x:v>US-INT-002</x:v>
      </x:c>
      <x:c r="B115" s="42" t="str">
        <x:v>INT-002</x:v>
      </x:c>
      <x:c r="C115" s="42" t="str">
        <x:v>Intégrations et interopérabilité</x:v>
      </x:c>
      <x:c r="D115" s="42" t="str">
        <x:v>Versionner les API et contrats d’échange</x:v>
      </x:c>
      <x:c r="E115" s="42" t="str">
        <x:v>Architecte intégration</x:v>
      </x:c>
      <x:c r="F115" s="42" t="str">
        <x:v>En tant que architecte intégration, je veux versionner les API et contrats d’échange. afin de garantir le fonctionnement attendu du module intégrations et interopérabilité.</x:v>
      </x:c>
      <x:c r="G115" s="42" t="str">
        <x:v>Conformité métier, qualité de service et traçabilité.</x:v>
      </x:c>
      <x:c r="H115" s="42" t="str">
        <x:v>Must</x:v>
      </x:c>
      <x:c r="I115" s="42" t="str">
        <x:v>R3 - Services premium</x:v>
      </x:c>
      <x:c r="J115" s="42" t="str">
        <x:v>À faire</x:v>
      </x:c>
      <x:c r="K115" s="42" t="str">
        <x:v>Décisions ouvertes applicables; socle R0</x:v>
      </x:c>
      <x:c r="L115" s="42" t="str">
        <x:v>INTEGRATION.CONFIG.WRITE</x:v>
      </x:c>
      <x:c r="M115" s="42" t="str">
        <x:v>integration.partner; integration.outbox_event</x:v>
      </x:c>
      <x:c r="N115" s="42" t="str">
        <x:v>/api/v1/integrations</x:v>
      </x:c>
      <x:c r="O115" s="42" t="str">
        <x:v>Une nouvelle version n’interrompt pas les consommateurs existants.</x:v>
      </x:c>
      <x:c r="P115" s="42" t="str">
        <x:v>Obligatoire</x:v>
      </x:c>
      <x:c r="Q115" s="42" t="str">
        <x:v>Interne</x:v>
      </x:c>
      <x:c r="R115" s="42" t="str">
        <x:v>Unitaire; intégration; autorisation; audit; idempotence; concurrence</x:v>
      </x:c>
      <x:c r="S115" s="42" t="n">
        <x:v>8</x:v>
      </x:c>
      <x:c r="T115" s="42" t="str">
        <x:v>À affecter</x:v>
      </x:c>
      <x:c r="U115" s="42" t="str"/>
    </x:row>
    <x:row r="116">
      <x:c r="A116" s="42" t="str">
        <x:v>US-INT-003</x:v>
      </x:c>
      <x:c r="B116" s="42" t="str">
        <x:v>INT-003</x:v>
      </x:c>
      <x:c r="C116" s="42" t="str">
        <x:v>Intégrations et interopérabilité</x:v>
      </x:c>
      <x:c r="D116" s="42" t="str">
        <x:v>Gérer consentement et base légale avant tout échange</x:v>
      </x:c>
      <x:c r="E116" s="42" t="str">
        <x:v>Architecte intégration</x:v>
      </x:c>
      <x:c r="F116" s="42" t="str">
        <x:v>En tant que architecte intégration, je veux gérer consentement et base légale avant tout échange. afin de garantir le fonctionnement attendu du module intégrations et interopérabilité.</x:v>
      </x:c>
      <x:c r="G116" s="42" t="str">
        <x:v>Conformité métier, qualité de service et traçabilité.</x:v>
      </x:c>
      <x:c r="H116" s="42" t="str">
        <x:v>Must</x:v>
      </x:c>
      <x:c r="I116" s="42" t="str">
        <x:v>R3 - Services premium</x:v>
      </x:c>
      <x:c r="J116" s="42" t="str">
        <x:v>À faire</x:v>
      </x:c>
      <x:c r="K116" s="42" t="str">
        <x:v>Décisions ouvertes applicables; socle R0</x:v>
      </x:c>
      <x:c r="L116" s="42" t="str">
        <x:v>INTEGRATION.CONFIG.WRITE</x:v>
      </x:c>
      <x:c r="M116" s="42" t="str">
        <x:v>integration.partner; integration.outbox_event</x:v>
      </x:c>
      <x:c r="N116" s="42" t="str">
        <x:v>/api/v1/integrations</x:v>
      </x:c>
      <x:c r="O116" s="42" t="str">
        <x:v>Chaque flux est documenté et autorisé.</x:v>
      </x:c>
      <x:c r="P116" s="42" t="str">
        <x:v>Obligatoire</x:v>
      </x:c>
      <x:c r="Q116" s="42" t="str">
        <x:v>Interne</x:v>
      </x:c>
      <x:c r="R116" s="42" t="str">
        <x:v>Unitaire; intégration; autorisation; audit; idempotence; concurrence</x:v>
      </x:c>
      <x:c r="S116" s="42" t="n">
        <x:v>8</x:v>
      </x:c>
      <x:c r="T116" s="42" t="str">
        <x:v>À affecter</x:v>
      </x:c>
      <x:c r="U116" s="42" t="str"/>
    </x:row>
    <x:row r="117">
      <x:c r="A117" s="42" t="str">
        <x:v>US-INT-004</x:v>
      </x:c>
      <x:c r="B117" s="42" t="str">
        <x:v>INT-004</x:v>
      </x:c>
      <x:c r="C117" s="42" t="str">
        <x:v>Intégrations et interopérabilité</x:v>
      </x:c>
      <x:c r="D117" s="42" t="str">
        <x:v>Tracer l’origine, la date et la qualité de chaque donnée importée</x:v>
      </x:c>
      <x:c r="E117" s="42" t="str">
        <x:v>Architecte intégration</x:v>
      </x:c>
      <x:c r="F117" s="42" t="str">
        <x:v>En tant que architecte intégration, je veux tracer l’origine, la date et la qualité de chaque donnée importée. afin de garantir le fonctionnement attendu du module intégrations et interopérabilité.</x:v>
      </x:c>
      <x:c r="G117" s="42" t="str">
        <x:v>Conformité métier, qualité de service et traçabilité.</x:v>
      </x:c>
      <x:c r="H117" s="42" t="str">
        <x:v>Must</x:v>
      </x:c>
      <x:c r="I117" s="42" t="str">
        <x:v>R3 - Services premium</x:v>
      </x:c>
      <x:c r="J117" s="42" t="str">
        <x:v>À faire</x:v>
      </x:c>
      <x:c r="K117" s="42" t="str">
        <x:v>Décisions ouvertes applicables; socle R0</x:v>
      </x:c>
      <x:c r="L117" s="42" t="str">
        <x:v>INTEGRATION.CONFIG.WRITE</x:v>
      </x:c>
      <x:c r="M117" s="42" t="str">
        <x:v>integration.partner; integration.outbox_event</x:v>
      </x:c>
      <x:c r="N117" s="42" t="str">
        <x:v>/api/v1/integrations</x:v>
      </x:c>
      <x:c r="O117" s="42" t="str">
        <x:v>La provenance reste visible et auditable.</x:v>
      </x:c>
      <x:c r="P117" s="42" t="str">
        <x:v>Obligatoire</x:v>
      </x:c>
      <x:c r="Q117" s="42" t="str">
        <x:v>Interne</x:v>
      </x:c>
      <x:c r="R117" s="42" t="str">
        <x:v>Unitaire; intégration; autorisation; audit; idempotence; concurrence</x:v>
      </x:c>
      <x:c r="S117" s="42" t="n">
        <x:v>8</x:v>
      </x:c>
      <x:c r="T117" s="42" t="str">
        <x:v>À affecter</x:v>
      </x:c>
      <x:c r="U117" s="42" t="str"/>
    </x:row>
    <x:row r="118">
      <x:c r="A118" s="42" t="str">
        <x:v>US-INT-005</x:v>
      </x:c>
      <x:c r="B118" s="42" t="str">
        <x:v>INT-005</x:v>
      </x:c>
      <x:c r="C118" s="42" t="str">
        <x:v>Intégrations et interopérabilité</x:v>
      </x:c>
      <x:c r="D118" s="42" t="str">
        <x:v>Résoudre les conflits de données selon règles de confiance</x:v>
      </x:c>
      <x:c r="E118" s="42" t="str">
        <x:v>Architecte intégration</x:v>
      </x:c>
      <x:c r="F118" s="42" t="str">
        <x:v>En tant que architecte intégration, je veux résoudre les conflits de données selon règles de confiance. afin de garantir le fonctionnement attendu du module intégrations et interopérabilité.</x:v>
      </x:c>
      <x:c r="G118" s="42" t="str">
        <x:v>Conformité métier, qualité de service et traçabilité.</x:v>
      </x:c>
      <x:c r="H118" s="42" t="str">
        <x:v>Should</x:v>
      </x:c>
      <x:c r="I118" s="42" t="str">
        <x:v>R3 - Services premium</x:v>
      </x:c>
      <x:c r="J118" s="42" t="str">
        <x:v>À faire</x:v>
      </x:c>
      <x:c r="K118" s="42" t="str">
        <x:v>Décisions ouvertes applicables; socle R0</x:v>
      </x:c>
      <x:c r="L118" s="42" t="str">
        <x:v>INTEGRATION.CONFIG.WRITE</x:v>
      </x:c>
      <x:c r="M118" s="42" t="str">
        <x:v>integration.partner; integration.outbox_event</x:v>
      </x:c>
      <x:c r="N118" s="42" t="str">
        <x:v>/api/v1/integrations</x:v>
      </x:c>
      <x:c r="O118" s="42" t="str">
        <x:v>Aucune donnée CNPM validée n’est écrasée silencieusement.</x:v>
      </x:c>
      <x:c r="P118" s="42" t="str">
        <x:v>Obligatoire</x:v>
      </x:c>
      <x:c r="Q118" s="42" t="str">
        <x:v>Interne</x:v>
      </x:c>
      <x:c r="R118" s="42" t="str">
        <x:v>Unitaire; intégration; autorisation; audit; idempotence; concurrence</x:v>
      </x:c>
      <x:c r="S118" s="42" t="n">
        <x:v>5</x:v>
      </x:c>
      <x:c r="T118" s="42" t="str">
        <x:v>À affecter</x:v>
      </x:c>
      <x:c r="U118" s="42" t="str"/>
    </x:row>
    <x:row r="119">
      <x:c r="A119" s="42" t="str">
        <x:v>US-INT-006</x:v>
      </x:c>
      <x:c r="B119" s="42" t="str">
        <x:v>INT-006</x:v>
      </x:c>
      <x:c r="C119" s="42" t="str">
        <x:v>Intégrations et interopérabilité</x:v>
      </x:c>
      <x:c r="D119" s="42" t="str">
        <x:v>Tester l’intégration dans un environnement sandbox</x:v>
      </x:c>
      <x:c r="E119" s="42" t="str">
        <x:v>Architecte intégration</x:v>
      </x:c>
      <x:c r="F119" s="42" t="str">
        <x:v>En tant que architecte intégration, je veux tester l’intégration dans un environnement sandbox. afin de garantir le fonctionnement attendu du module intégrations et interopérabilité.</x:v>
      </x:c>
      <x:c r="G119" s="42" t="str">
        <x:v>Conformité métier, qualité de service et traçabilité.</x:v>
      </x:c>
      <x:c r="H119" s="42" t="str">
        <x:v>Should</x:v>
      </x:c>
      <x:c r="I119" s="42" t="str">
        <x:v>R3 - Services premium</x:v>
      </x:c>
      <x:c r="J119" s="42" t="str">
        <x:v>À faire</x:v>
      </x:c>
      <x:c r="K119" s="42" t="str">
        <x:v>Décisions ouvertes applicables; socle R0</x:v>
      </x:c>
      <x:c r="L119" s="42" t="str">
        <x:v>INTEGRATION.CONFIG.WRITE</x:v>
      </x:c>
      <x:c r="M119" s="42" t="str">
        <x:v>integration.partner; integration.outbox_event</x:v>
      </x:c>
      <x:c r="N119" s="42" t="str">
        <x:v>/api/v1/integrations</x:v>
      </x:c>
      <x:c r="O119" s="42" t="str">
        <x:v>Jeux de données fictifs, clés distinctes et journal de tests.</x:v>
      </x:c>
      <x:c r="P119" s="42" t="str">
        <x:v>Obligatoire</x:v>
      </x:c>
      <x:c r="Q119" s="42" t="str">
        <x:v>Interne</x:v>
      </x:c>
      <x:c r="R119" s="42" t="str">
        <x:v>Unitaire; intégration; autorisation; audit; idempotence; concurrence</x:v>
      </x:c>
      <x:c r="S119" s="42" t="n">
        <x:v>5</x:v>
      </x:c>
      <x:c r="T119" s="42" t="str">
        <x:v>À affecter</x:v>
      </x:c>
      <x:c r="U119" s="42" t="str"/>
    </x:row>
    <x:row r="120">
      <x:c r="A120" s="42" t="str">
        <x:v>US-DB-001</x:v>
      </x:c>
      <x:c r="B120" s="42" t="str">
        <x:v>DB-001</x:v>
      </x:c>
      <x:c r="C120" s="42" t="str">
        <x:v>PostgreSQL et données</x:v>
      </x:c>
      <x:c r="D120" s="42" t="str">
        <x:v>Utiliser PostgreSQL comme seul SGBD relationnel de production</x:v>
      </x:c>
      <x:c r="E120" s="42" t="str">
        <x:v>DBA / Développeur</x:v>
      </x:c>
      <x:c r="F120" s="42" t="str">
        <x:v>En tant que dba / développeur, je veux utiliser PostgreSQL comme seul SGBD relationnel de production. afin de garantir le fonctionnement attendu du module postgresql et données.</x:v>
      </x:c>
      <x:c r="G120" s="42" t="str">
        <x:v>Conformité métier, qualité de service et traçabilité.</x:v>
      </x:c>
      <x:c r="H120" s="42" t="str">
        <x:v>Must</x:v>
      </x:c>
      <x:c r="I120" s="42" t="str">
        <x:v>R0 - Fondations</x:v>
      </x:c>
      <x:c r="J120" s="42" t="str">
        <x:v>À faire</x:v>
      </x:c>
      <x:c r="K120" s="42" t="str">
        <x:v>Architecture et gouvernance approuvées</x:v>
      </x:c>
      <x:c r="L120" s="42" t="str">
        <x:v>DATA.ADMIN</x:v>
      </x:c>
      <x:c r="M120" s="42" t="str">
        <x:v>Schémas PostgreSQL</x:v>
      </x:c>
      <x:c r="N120" s="42" t="str">
        <x:v>N/A - migration Flyway</x:v>
      </x:c>
      <x:c r="O120" s="42" t="str">
        <x:v>Les bases métier, Keycloak, Flowable et métadonnées BI utilisent PostgreSQL; H2 est limité aux tests locaux.</x:v>
      </x:c>
      <x:c r="P120" s="42" t="str">
        <x:v>Obligatoire</x:v>
      </x:c>
      <x:c r="Q120" s="42" t="str">
        <x:v>Critique</x:v>
      </x:c>
      <x:c r="R120" s="42" t="str">
        <x:v>Unitaire; intégration; autorisation; audit</x:v>
      </x:c>
      <x:c r="S120" s="42" t="n">
        <x:v>8</x:v>
      </x:c>
      <x:c r="T120" s="42" t="str">
        <x:v>À affecter</x:v>
      </x:c>
      <x:c r="U120" s="42" t="str"/>
    </x:row>
    <x:row r="121">
      <x:c r="A121" s="42" t="str">
        <x:v>US-DB-002</x:v>
      </x:c>
      <x:c r="B121" s="42" t="str">
        <x:v>DB-002</x:v>
      </x:c>
      <x:c r="C121" s="42" t="str">
        <x:v>PostgreSQL et données</x:v>
      </x:c>
      <x:c r="D121" s="42" t="str">
        <x:v>Maintenir PostgreSQL sur une version officiellement supportée et le dernier correctif mineur...</x:v>
      </x:c>
      <x:c r="E121" s="42" t="str">
        <x:v>DBA / Développeur</x:v>
      </x:c>
      <x:c r="F121" s="42" t="str">
        <x:v>En tant que dba / développeur, je veux maintenir PostgreSQL sur une version officiellement supportée et le dernier correctif mineur validé. afin de garantir le fonctionnement attendu du module postgresql et données.</x:v>
      </x:c>
      <x:c r="G121" s="42" t="str">
        <x:v>Conformité métier, qualité de service et traçabilité.</x:v>
      </x:c>
      <x:c r="H121" s="42" t="str">
        <x:v>Must</x:v>
      </x:c>
      <x:c r="I121" s="42" t="str">
        <x:v>R0 - Fondations</x:v>
      </x:c>
      <x:c r="J121" s="42" t="str">
        <x:v>À faire</x:v>
      </x:c>
      <x:c r="K121" s="42" t="str">
        <x:v>Architecture et gouvernance approuvées</x:v>
      </x:c>
      <x:c r="L121" s="42" t="str">
        <x:v>DATA.ADMIN</x:v>
      </x:c>
      <x:c r="M121" s="42" t="str">
        <x:v>Schémas PostgreSQL</x:v>
      </x:c>
      <x:c r="N121" s="42" t="str">
        <x:v>N/A - migration Flyway</x:v>
      </x:c>
      <x:c r="O121" s="42" t="str">
        <x:v>La matrice de versions indique date d'installation, patch, fin de support et plan de montée de version.</x:v>
      </x:c>
      <x:c r="P121" s="42" t="str">
        <x:v>Obligatoire</x:v>
      </x:c>
      <x:c r="Q121" s="42" t="str">
        <x:v>Critique</x:v>
      </x:c>
      <x:c r="R121" s="42" t="str">
        <x:v>Unitaire; intégration; autorisation; audit</x:v>
      </x:c>
      <x:c r="S121" s="42" t="n">
        <x:v>8</x:v>
      </x:c>
      <x:c r="T121" s="42" t="str">
        <x:v>À affecter</x:v>
      </x:c>
      <x:c r="U121" s="42" t="str"/>
    </x:row>
    <x:row r="122">
      <x:c r="A122" s="42" t="str">
        <x:v>US-DB-003</x:v>
      </x:c>
      <x:c r="B122" s="42" t="str">
        <x:v>DB-003</x:v>
      </x:c>
      <x:c r="C122" s="42" t="str">
        <x:v>PostgreSQL et données</x:v>
      </x:c>
      <x:c r="D122" s="42" t="str">
        <x:v>Séparer les domaines par schémas et propriétaires techniques distincts</x:v>
      </x:c>
      <x:c r="E122" s="42" t="str">
        <x:v>DBA / Développeur</x:v>
      </x:c>
      <x:c r="F122" s="42" t="str">
        <x:v>En tant que dba / développeur, je veux séparer les domaines par schémas et propriétaires techniques distincts. afin de garantir le fonctionnement attendu du module postgresql et données.</x:v>
      </x:c>
      <x:c r="G122" s="42" t="str">
        <x:v>Conformité métier, qualité de service et traçabilité.</x:v>
      </x:c>
      <x:c r="H122" s="42" t="str">
        <x:v>Must</x:v>
      </x:c>
      <x:c r="I122" s="42" t="str">
        <x:v>R0 - Fondations</x:v>
      </x:c>
      <x:c r="J122" s="42" t="str">
        <x:v>À faire</x:v>
      </x:c>
      <x:c r="K122" s="42" t="str">
        <x:v>Architecture et gouvernance approuvées</x:v>
      </x:c>
      <x:c r="L122" s="42" t="str">
        <x:v>DATA.ADMIN</x:v>
      </x:c>
      <x:c r="M122" s="42" t="str">
        <x:v>Schémas PostgreSQL</x:v>
      </x:c>
      <x:c r="N122" s="42" t="str">
        <x:v>N/A - migration Flyway</x:v>
      </x:c>
      <x:c r="O122" s="42" t="str">
        <x:v>Exemples : member, contribution, payment, recovery, service, governance, integration, audit, reporting.</x:v>
      </x:c>
      <x:c r="P122" s="42" t="str">
        <x:v>Obligatoire</x:v>
      </x:c>
      <x:c r="Q122" s="42" t="str">
        <x:v>Critique</x:v>
      </x:c>
      <x:c r="R122" s="42" t="str">
        <x:v>Unitaire; intégration; autorisation; audit</x:v>
      </x:c>
      <x:c r="S122" s="42" t="n">
        <x:v>8</x:v>
      </x:c>
      <x:c r="T122" s="42" t="str">
        <x:v>À affecter</x:v>
      </x:c>
      <x:c r="U122" s="42" t="str"/>
    </x:row>
    <x:row r="123">
      <x:c r="A123" s="42" t="str">
        <x:v>US-DB-004</x:v>
      </x:c>
      <x:c r="B123" s="42" t="str">
        <x:v>DB-004</x:v>
      </x:c>
      <x:c r="C123" s="42" t="str">
        <x:v>PostgreSQL et données</x:v>
      </x:c>
      <x:c r="D123" s="42" t="str">
        <x:v>Employer des clés techniques UUID et des numéros métiers lisibles séparés</x:v>
      </x:c>
      <x:c r="E123" s="42" t="str">
        <x:v>DBA / Développeur</x:v>
      </x:c>
      <x:c r="F123" s="42" t="str">
        <x:v>En tant que dba / développeur, je veux employer des clés techniques UUID et des numéros métiers lisibles séparés. afin de garantir le fonctionnement attendu du module postgresql et données.</x:v>
      </x:c>
      <x:c r="G123" s="42" t="str">
        <x:v>Conformité métier, qualité de service et traçabilité.</x:v>
      </x:c>
      <x:c r="H123" s="42" t="str">
        <x:v>Must</x:v>
      </x:c>
      <x:c r="I123" s="42" t="str">
        <x:v>R0 - Fondations</x:v>
      </x:c>
      <x:c r="J123" s="42" t="str">
        <x:v>À faire</x:v>
      </x:c>
      <x:c r="K123" s="42" t="str">
        <x:v>Architecture et gouvernance approuvées</x:v>
      </x:c>
      <x:c r="L123" s="42" t="str">
        <x:v>DATA.ADMIN</x:v>
      </x:c>
      <x:c r="M123" s="42" t="str">
        <x:v>Schémas PostgreSQL</x:v>
      </x:c>
      <x:c r="N123" s="42" t="str">
        <x:v>N/A - migration Flyway</x:v>
      </x:c>
      <x:c r="O123" s="42" t="str">
        <x:v>Un changement de numéro métier ne modifie jamais la clé ni les relations.</x:v>
      </x:c>
      <x:c r="P123" s="42" t="str">
        <x:v>Obligatoire</x:v>
      </x:c>
      <x:c r="Q123" s="42" t="str">
        <x:v>Critique</x:v>
      </x:c>
      <x:c r="R123" s="42" t="str">
        <x:v>Unitaire; intégration; autorisation; audit</x:v>
      </x:c>
      <x:c r="S123" s="42" t="n">
        <x:v>8</x:v>
      </x:c>
      <x:c r="T123" s="42" t="str">
        <x:v>À affecter</x:v>
      </x:c>
      <x:c r="U123" s="42" t="str"/>
    </x:row>
    <x:row r="124">
      <x:c r="A124" s="42" t="str">
        <x:v>US-DB-005</x:v>
      </x:c>
      <x:c r="B124" s="42" t="str">
        <x:v>DB-005</x:v>
      </x:c>
      <x:c r="C124" s="42" t="str">
        <x:v>PostgreSQL et données</x:v>
      </x:c>
      <x:c r="D124" s="42" t="str">
        <x:v>Stocker les montants en NUMERIC avec code devise et règles d'arrondi explicites</x:v>
      </x:c>
      <x:c r="E124" s="42" t="str">
        <x:v>DBA / Développeur</x:v>
      </x:c>
      <x:c r="F124" s="42" t="str">
        <x:v>En tant que dba / développeur, je veux stocker les montants en NUMERIC avec code devise et règles d'arrondi explicites. afin de garantir le fonctionnement attendu du module postgresql et données.</x:v>
      </x:c>
      <x:c r="G124" s="42" t="str">
        <x:v>Conformité métier, qualité de service et traçabilité.</x:v>
      </x:c>
      <x:c r="H124" s="42" t="str">
        <x:v>Must</x:v>
      </x:c>
      <x:c r="I124" s="42" t="str">
        <x:v>R0 - Fondations</x:v>
      </x:c>
      <x:c r="J124" s="42" t="str">
        <x:v>À faire</x:v>
      </x:c>
      <x:c r="K124" s="42" t="str">
        <x:v>Architecture et gouvernance approuvées</x:v>
      </x:c>
      <x:c r="L124" s="42" t="str">
        <x:v>DATA.ADMIN</x:v>
      </x:c>
      <x:c r="M124" s="42" t="str">
        <x:v>Schémas PostgreSQL</x:v>
      </x:c>
      <x:c r="N124" s="42" t="str">
        <x:v>N/A - migration Flyway</x:v>
      </x:c>
      <x:c r="O124" s="42" t="str">
        <x:v>Aucun type flottant n'est utilisé pour une cotisation, prime, commission, frais ou solde.</x:v>
      </x:c>
      <x:c r="P124" s="42" t="str">
        <x:v>Obligatoire</x:v>
      </x:c>
      <x:c r="Q124" s="42" t="str">
        <x:v>Critique</x:v>
      </x:c>
      <x:c r="R124" s="42" t="str">
        <x:v>Unitaire; intégration; autorisation; audit</x:v>
      </x:c>
      <x:c r="S124" s="42" t="n">
        <x:v>8</x:v>
      </x:c>
      <x:c r="T124" s="42" t="str">
        <x:v>À affecter</x:v>
      </x:c>
      <x:c r="U124" s="42" t="str"/>
    </x:row>
    <x:row r="125">
      <x:c r="A125" s="42" t="str">
        <x:v>US-DB-006</x:v>
      </x:c>
      <x:c r="B125" s="42" t="str">
        <x:v>DB-006</x:v>
      </x:c>
      <x:c r="C125" s="42" t="str">
        <x:v>PostgreSQL et données</x:v>
      </x:c>
      <x:c r="D125" s="42" t="str">
        <x:v>Stocker les horodatages en TIMESTAMPTZ et afficher selon Africa/Bamako</x:v>
      </x:c>
      <x:c r="E125" s="42" t="str">
        <x:v>DBA / Développeur</x:v>
      </x:c>
      <x:c r="F125" s="42" t="str">
        <x:v>En tant que dba / développeur, je veux stocker les horodatages en TIMESTAMPTZ et afficher selon Africa/Bamako. afin de garantir le fonctionnement attendu du module postgresql et données.</x:v>
      </x:c>
      <x:c r="G125" s="42" t="str">
        <x:v>Conformité métier, qualité de service et traçabilité.</x:v>
      </x:c>
      <x:c r="H125" s="42" t="str">
        <x:v>Must</x:v>
      </x:c>
      <x:c r="I125" s="42" t="str">
        <x:v>R0 - Fondations</x:v>
      </x:c>
      <x:c r="J125" s="42" t="str">
        <x:v>À faire</x:v>
      </x:c>
      <x:c r="K125" s="42" t="str">
        <x:v>Architecture et gouvernance approuvées</x:v>
      </x:c>
      <x:c r="L125" s="42" t="str">
        <x:v>DATA.ADMIN</x:v>
      </x:c>
      <x:c r="M125" s="42" t="str">
        <x:v>Schémas PostgreSQL</x:v>
      </x:c>
      <x:c r="N125" s="42" t="str">
        <x:v>N/A - migration Flyway</x:v>
      </x:c>
      <x:c r="O125" s="42" t="str">
        <x:v>L'instant UTC, le fuseau d'affichage et la date métier restent non ambigus.</x:v>
      </x:c>
      <x:c r="P125" s="42" t="str">
        <x:v>Obligatoire</x:v>
      </x:c>
      <x:c r="Q125" s="42" t="str">
        <x:v>Critique</x:v>
      </x:c>
      <x:c r="R125" s="42" t="str">
        <x:v>Unitaire; intégration; autorisation; audit</x:v>
      </x:c>
      <x:c r="S125" s="42" t="n">
        <x:v>8</x:v>
      </x:c>
      <x:c r="T125" s="42" t="str">
        <x:v>À affecter</x:v>
      </x:c>
      <x:c r="U125" s="42" t="str"/>
    </x:row>
    <x:row r="126">
      <x:c r="A126" s="42" t="str">
        <x:v>US-DB-007</x:v>
      </x:c>
      <x:c r="B126" s="42" t="str">
        <x:v>DB-007</x:v>
      </x:c>
      <x:c r="C126" s="42" t="str">
        <x:v>PostgreSQL et données</x:v>
      </x:c>
      <x:c r="D126" s="42" t="str">
        <x:v>Imposer clés étrangères, unicité, CHECK et transactions sur les invariants métier</x:v>
      </x:c>
      <x:c r="E126" s="42" t="str">
        <x:v>DBA / Développeur</x:v>
      </x:c>
      <x:c r="F126" s="42" t="str">
        <x:v>En tant que dba / développeur, je veux imposer clés étrangères, unicité, CHECK et transactions sur les invariants métier. afin de garantir le fonctionnement attendu du module postgresql et données.</x:v>
      </x:c>
      <x:c r="G126" s="42" t="str">
        <x:v>Conformité métier, qualité de service et traçabilité.</x:v>
      </x:c>
      <x:c r="H126" s="42" t="str">
        <x:v>Must</x:v>
      </x:c>
      <x:c r="I126" s="42" t="str">
        <x:v>R0 - Fondations</x:v>
      </x:c>
      <x:c r="J126" s="42" t="str">
        <x:v>À faire</x:v>
      </x:c>
      <x:c r="K126" s="42" t="str">
        <x:v>Architecture et gouvernance approuvées</x:v>
      </x:c>
      <x:c r="L126" s="42" t="str">
        <x:v>DATA.ADMIN</x:v>
      </x:c>
      <x:c r="M126" s="42" t="str">
        <x:v>Schémas PostgreSQL</x:v>
      </x:c>
      <x:c r="N126" s="42" t="str">
        <x:v>N/A - migration Flyway</x:v>
      </x:c>
      <x:c r="O126" s="42" t="str">
        <x:v>Les incohérences critiques sont rejetées même si elles proviennent d'un import ou d'une API.</x:v>
      </x:c>
      <x:c r="P126" s="42" t="str">
        <x:v>Obligatoire</x:v>
      </x:c>
      <x:c r="Q126" s="42" t="str">
        <x:v>Critique</x:v>
      </x:c>
      <x:c r="R126" s="42" t="str">
        <x:v>Unitaire; intégration; autorisation; audit</x:v>
      </x:c>
      <x:c r="S126" s="42" t="n">
        <x:v>8</x:v>
      </x:c>
      <x:c r="T126" s="42" t="str">
        <x:v>À affecter</x:v>
      </x:c>
      <x:c r="U126" s="42" t="str"/>
    </x:row>
    <x:row r="127">
      <x:c r="A127" s="42" t="str">
        <x:v>US-DB-008</x:v>
      </x:c>
      <x:c r="B127" s="42" t="str">
        <x:v>DB-008</x:v>
      </x:c>
      <x:c r="C127" s="42" t="str">
        <x:v>PostgreSQL et données</x:v>
      </x:c>
      <x:c r="D127" s="42" t="str">
        <x:v>Rendre les écritures financières validées append-only</x:v>
      </x:c>
      <x:c r="E127" s="42" t="str">
        <x:v>DBA / Développeur</x:v>
      </x:c>
      <x:c r="F127" s="42" t="str">
        <x:v>En tant que dba / développeur, je veux rendre les écritures financières validées append-only. afin de garantir le fonctionnement attendu du module postgresql et données.</x:v>
      </x:c>
      <x:c r="G127" s="42" t="str">
        <x:v>Conformité métier, qualité de service et traçabilité.</x:v>
      </x:c>
      <x:c r="H127" s="42" t="str">
        <x:v>Must</x:v>
      </x:c>
      <x:c r="I127" s="42" t="str">
        <x:v>R0 - Fondations</x:v>
      </x:c>
      <x:c r="J127" s="42" t="str">
        <x:v>À faire</x:v>
      </x:c>
      <x:c r="K127" s="42" t="str">
        <x:v>Architecture et gouvernance approuvées</x:v>
      </x:c>
      <x:c r="L127" s="42" t="str">
        <x:v>DATA.ADMIN</x:v>
      </x:c>
      <x:c r="M127" s="42" t="str">
        <x:v>Schémas PostgreSQL</x:v>
      </x:c>
      <x:c r="N127" s="42" t="str">
        <x:v>N/A - migration Flyway</x:v>
      </x:c>
      <x:c r="O127" s="42" t="str">
        <x:v>Aucune suppression physique; annulation et correction par écritures compensatrices liées.</x:v>
      </x:c>
      <x:c r="P127" s="42" t="str">
        <x:v>Obligatoire</x:v>
      </x:c>
      <x:c r="Q127" s="42" t="str">
        <x:v>Critique</x:v>
      </x:c>
      <x:c r="R127" s="42" t="str">
        <x:v>Unitaire; intégration; autorisation; audit</x:v>
      </x:c>
      <x:c r="S127" s="42" t="n">
        <x:v>8</x:v>
      </x:c>
      <x:c r="T127" s="42" t="str">
        <x:v>À affecter</x:v>
      </x:c>
      <x:c r="U127" s="42" t="str"/>
    </x:row>
    <x:row r="128">
      <x:c r="A128" s="42" t="str">
        <x:v>US-DB-009</x:v>
      </x:c>
      <x:c r="B128" s="42" t="str">
        <x:v>DB-009</x:v>
      </x:c>
      <x:c r="C128" s="42" t="str">
        <x:v>PostgreSQL et données</x:v>
      </x:c>
      <x:c r="D128" s="42" t="str">
        <x:v>Garantir l'idempotence par contraintes uniques et clés de déduplication</x:v>
      </x:c>
      <x:c r="E128" s="42" t="str">
        <x:v>DBA / Développeur</x:v>
      </x:c>
      <x:c r="F128" s="42" t="str">
        <x:v>En tant que dba / développeur, je veux garantir l'idempotence par contraintes uniques et clés de déduplication. afin de garantir le fonctionnement attendu du module postgresql et données.</x:v>
      </x:c>
      <x:c r="G128" s="42" t="str">
        <x:v>Conformité métier, qualité de service et traçabilité.</x:v>
      </x:c>
      <x:c r="H128" s="42" t="str">
        <x:v>Must</x:v>
      </x:c>
      <x:c r="I128" s="42" t="str">
        <x:v>R0 - Fondations</x:v>
      </x:c>
      <x:c r="J128" s="42" t="str">
        <x:v>À faire</x:v>
      </x:c>
      <x:c r="K128" s="42" t="str">
        <x:v>Architecture et gouvernance approuvées</x:v>
      </x:c>
      <x:c r="L128" s="42" t="str">
        <x:v>DATA.ADMIN</x:v>
      </x:c>
      <x:c r="M128" s="42" t="str">
        <x:v>Schémas PostgreSQL</x:v>
      </x:c>
      <x:c r="N128" s="42" t="str">
        <x:v>N/A - migration Flyway</x:v>
      </x:c>
      <x:c r="O128" s="42" t="str">
        <x:v>Une transaction externe, un webhook ou un lot rejoué ne peut être comptabilisé deux fois.</x:v>
      </x:c>
      <x:c r="P128" s="42" t="str">
        <x:v>Obligatoire</x:v>
      </x:c>
      <x:c r="Q128" s="42" t="str">
        <x:v>Critique</x:v>
      </x:c>
      <x:c r="R128" s="42" t="str">
        <x:v>Unitaire; intégration; autorisation; audit</x:v>
      </x:c>
      <x:c r="S128" s="42" t="n">
        <x:v>8</x:v>
      </x:c>
      <x:c r="T128" s="42" t="str">
        <x:v>À affecter</x:v>
      </x:c>
      <x:c r="U128" s="42" t="str"/>
    </x:row>
    <x:row r="129">
      <x:c r="A129" s="42" t="str">
        <x:v>US-DB-010</x:v>
      </x:c>
      <x:c r="B129" s="42" t="str">
        <x:v>DB-010</x:v>
      </x:c>
      <x:c r="C129" s="42" t="str">
        <x:v>PostgreSQL et données</x:v>
      </x:c>
      <x:c r="D129" s="42" t="str">
        <x:v>Limiter JSONB aux métadonnées extensibles non critiques</x:v>
      </x:c>
      <x:c r="E129" s="42" t="str">
        <x:v>DBA / Développeur</x:v>
      </x:c>
      <x:c r="F129" s="42" t="str">
        <x:v>En tant que dba / développeur, je veux limiter JSONB aux métadonnées extensibles non critiques. afin de garantir le fonctionnement attendu du module postgresql et données.</x:v>
      </x:c>
      <x:c r="G129" s="42" t="str">
        <x:v>Conformité métier, qualité de service et traçabilité.</x:v>
      </x:c>
      <x:c r="H129" s="42" t="str">
        <x:v>Must</x:v>
      </x:c>
      <x:c r="I129" s="42" t="str">
        <x:v>R0 - Fondations</x:v>
      </x:c>
      <x:c r="J129" s="42" t="str">
        <x:v>À faire</x:v>
      </x:c>
      <x:c r="K129" s="42" t="str">
        <x:v>Architecture et gouvernance approuvées</x:v>
      </x:c>
      <x:c r="L129" s="42" t="str">
        <x:v>DATA.ADMIN</x:v>
      </x:c>
      <x:c r="M129" s="42" t="str">
        <x:v>Schémas PostgreSQL</x:v>
      </x:c>
      <x:c r="N129" s="42" t="str">
        <x:v>N/A - migration Flyway</x:v>
      </x:c>
      <x:c r="O129" s="42" t="str">
        <x:v>Les champs de recherche, calcul, contrôle ou reporting sont modélisés en colonnes typées.</x:v>
      </x:c>
      <x:c r="P129" s="42" t="str">
        <x:v>Obligatoire</x:v>
      </x:c>
      <x:c r="Q129" s="42" t="str">
        <x:v>Critique</x:v>
      </x:c>
      <x:c r="R129" s="42" t="str">
        <x:v>Unitaire; intégration; autorisation; audit</x:v>
      </x:c>
      <x:c r="S129" s="42" t="n">
        <x:v>8</x:v>
      </x:c>
      <x:c r="T129" s="42" t="str">
        <x:v>À affecter</x:v>
      </x:c>
      <x:c r="U129" s="42" t="str"/>
    </x:row>
    <x:row r="130">
      <x:c r="A130" s="42" t="str">
        <x:v>US-DB-011</x:v>
      </x:c>
      <x:c r="B130" s="42" t="str">
        <x:v>DB-011</x:v>
      </x:c>
      <x:c r="C130" s="42" t="str">
        <x:v>PostgreSQL et données</x:v>
      </x:c>
      <x:c r="D130" s="42" t="str">
        <x:v>Indexer et partitionner selon des mesures réelles</x:v>
      </x:c>
      <x:c r="E130" s="42" t="str">
        <x:v>DBA / Développeur</x:v>
      </x:c>
      <x:c r="F130" s="42" t="str">
        <x:v>En tant que dba / développeur, je veux indexer et partitionner selon des mesures réelles. afin de garantir le fonctionnement attendu du module postgresql et données.</x:v>
      </x:c>
      <x:c r="G130" s="42" t="str">
        <x:v>Conformité métier, qualité de service et traçabilité.</x:v>
      </x:c>
      <x:c r="H130" s="42" t="str">
        <x:v>Should</x:v>
      </x:c>
      <x:c r="I130" s="42" t="str">
        <x:v>R0 - Fondations</x:v>
      </x:c>
      <x:c r="J130" s="42" t="str">
        <x:v>À faire</x:v>
      </x:c>
      <x:c r="K130" s="42" t="str">
        <x:v>Architecture et gouvernance approuvées</x:v>
      </x:c>
      <x:c r="L130" s="42" t="str">
        <x:v>DATA.ADMIN</x:v>
      </x:c>
      <x:c r="M130" s="42" t="str">
        <x:v>Schémas PostgreSQL</x:v>
      </x:c>
      <x:c r="N130" s="42" t="str">
        <x:v>N/A - migration Flyway</x:v>
      </x:c>
      <x:c r="O130" s="42" t="str">
        <x:v>B-tree par défaut; GIN/pg_trgm pour recherche; partitionnement des audits, événements et notifications si nécessaire.</x:v>
      </x:c>
      <x:c r="P130" s="42" t="str">
        <x:v>Obligatoire</x:v>
      </x:c>
      <x:c r="Q130" s="42" t="str">
        <x:v>Critique</x:v>
      </x:c>
      <x:c r="R130" s="42" t="str">
        <x:v>Unitaire; intégration; autorisation; audit</x:v>
      </x:c>
      <x:c r="S130" s="42" t="n">
        <x:v>5</x:v>
      </x:c>
      <x:c r="T130" s="42" t="str">
        <x:v>À affecter</x:v>
      </x:c>
      <x:c r="U130" s="42" t="str"/>
    </x:row>
    <x:row r="131">
      <x:c r="A131" s="42" t="str">
        <x:v>US-DB-012</x:v>
      </x:c>
      <x:c r="B131" s="42" t="str">
        <x:v>DB-012</x:v>
      </x:c>
      <x:c r="C131" s="42" t="str">
        <x:v>PostgreSQL et données</x:v>
      </x:c>
      <x:c r="D131" s="42" t="str">
        <x:v>Appliquer les migrations par Flyway dans la CI/CD</x:v>
      </x:c>
      <x:c r="E131" s="42" t="str">
        <x:v>DBA / Développeur</x:v>
      </x:c>
      <x:c r="F131" s="42" t="str">
        <x:v>En tant que dba / développeur, je veux appliquer les migrations par Flyway dans la CI/CD. afin de garantir le fonctionnement attendu du module postgresql et données.</x:v>
      </x:c>
      <x:c r="G131" s="42" t="str">
        <x:v>Conformité métier, qualité de service et traçabilité.</x:v>
      </x:c>
      <x:c r="H131" s="42" t="str">
        <x:v>Must</x:v>
      </x:c>
      <x:c r="I131" s="42" t="str">
        <x:v>R0 - Fondations</x:v>
      </x:c>
      <x:c r="J131" s="42" t="str">
        <x:v>À faire</x:v>
      </x:c>
      <x:c r="K131" s="42" t="str">
        <x:v>Architecture et gouvernance approuvées</x:v>
      </x:c>
      <x:c r="L131" s="42" t="str">
        <x:v>DATA.ADMIN</x:v>
      </x:c>
      <x:c r="M131" s="42" t="str">
        <x:v>Schémas PostgreSQL</x:v>
      </x:c>
      <x:c r="N131" s="42" t="str">
        <x:v>N/A - migration Flyway</x:v>
      </x:c>
      <x:c r="O131" s="42" t="str">
        <x:v>Scripts versionnés, revus, testés sur copie représentative et compatibles avec un déploiement progressif.</x:v>
      </x:c>
      <x:c r="P131" s="42" t="str">
        <x:v>Obligatoire</x:v>
      </x:c>
      <x:c r="Q131" s="42" t="str">
        <x:v>Critique</x:v>
      </x:c>
      <x:c r="R131" s="42" t="str">
        <x:v>Unitaire; intégration; autorisation; audit</x:v>
      </x:c>
      <x:c r="S131" s="42" t="n">
        <x:v>8</x:v>
      </x:c>
      <x:c r="T131" s="42" t="str">
        <x:v>À affecter</x:v>
      </x:c>
      <x:c r="U131" s="42" t="str"/>
    </x:row>
    <x:row r="132">
      <x:c r="A132" s="42" t="str">
        <x:v>US-DB-013</x:v>
      </x:c>
      <x:c r="B132" s="42" t="str">
        <x:v>DB-013</x:v>
      </x:c>
      <x:c r="C132" s="42" t="str">
        <x:v>PostgreSQL et données</x:v>
      </x:c>
      <x:c r="D132" s="42" t="str">
        <x:v>Mettre en place sauvegardes chiffrées, archivage WAL et PITR</x:v>
      </x:c>
      <x:c r="E132" s="42" t="str">
        <x:v>DBA / Développeur</x:v>
      </x:c>
      <x:c r="F132" s="42" t="str">
        <x:v>En tant que dba / développeur, je veux mettre en place sauvegardes chiffrées, archivage WAL et PITR. afin de garantir le fonctionnement attendu du module postgresql et données.</x:v>
      </x:c>
      <x:c r="G132" s="42" t="str">
        <x:v>Conformité métier, qualité de service et traçabilité.</x:v>
      </x:c>
      <x:c r="H132" s="42" t="str">
        <x:v>Must</x:v>
      </x:c>
      <x:c r="I132" s="42" t="str">
        <x:v>R0 - Fondations</x:v>
      </x:c>
      <x:c r="J132" s="42" t="str">
        <x:v>À faire</x:v>
      </x:c>
      <x:c r="K132" s="42" t="str">
        <x:v>Architecture et gouvernance approuvées</x:v>
      </x:c>
      <x:c r="L132" s="42" t="str">
        <x:v>DATA.ADMIN</x:v>
      </x:c>
      <x:c r="M132" s="42" t="str">
        <x:v>Schémas PostgreSQL</x:v>
      </x:c>
      <x:c r="N132" s="42" t="str">
        <x:v>N/A - migration Flyway</x:v>
      </x:c>
      <x:c r="O132" s="42" t="str">
        <x:v>RPO 15 min et RTO 4 h démontrés par un test de restauration documenté.</x:v>
      </x:c>
      <x:c r="P132" s="42" t="str">
        <x:v>Obligatoire</x:v>
      </x:c>
      <x:c r="Q132" s="42" t="str">
        <x:v>Critique</x:v>
      </x:c>
      <x:c r="R132" s="42" t="str">
        <x:v>Unitaire; intégration; autorisation; audit</x:v>
      </x:c>
      <x:c r="S132" s="42" t="n">
        <x:v>8</x:v>
      </x:c>
      <x:c r="T132" s="42" t="str">
        <x:v>À affecter</x:v>
      </x:c>
      <x:c r="U132" s="42" t="str"/>
    </x:row>
    <x:row r="133">
      <x:c r="A133" s="42" t="str">
        <x:v>US-DB-014</x:v>
      </x:c>
      <x:c r="B133" s="42" t="str">
        <x:v>DB-014</x:v>
      </x:c>
      <x:c r="C133" s="42" t="str">
        <x:v>PostgreSQL et données</x:v>
      </x:c>
      <x:c r="D133" s="42" t="str">
        <x:v>Prévoir haute disponibilité et lecture décisionnelle séparée</x:v>
      </x:c>
      <x:c r="E133" s="42" t="str">
        <x:v>DBA / Développeur</x:v>
      </x:c>
      <x:c r="F133" s="42" t="str">
        <x:v>En tant que dba / développeur, je veux prévoir haute disponibilité et lecture décisionnelle séparée. afin de garantir le fonctionnement attendu du module postgresql et données.</x:v>
      </x:c>
      <x:c r="G133" s="42" t="str">
        <x:v>Conformité métier, qualité de service et traçabilité.</x:v>
      </x:c>
      <x:c r="H133" s="42" t="str">
        <x:v>Must</x:v>
      </x:c>
      <x:c r="I133" s="42" t="str">
        <x:v>R0 - Fondations</x:v>
      </x:c>
      <x:c r="J133" s="42" t="str">
        <x:v>À faire</x:v>
      </x:c>
      <x:c r="K133" s="42" t="str">
        <x:v>Architecture et gouvernance approuvées</x:v>
      </x:c>
      <x:c r="L133" s="42" t="str">
        <x:v>DATA.ADMIN</x:v>
      </x:c>
      <x:c r="M133" s="42" t="str">
        <x:v>Schémas PostgreSQL</x:v>
      </x:c>
      <x:c r="N133" s="42" t="str">
        <x:v>N/A - migration Flyway</x:v>
      </x:c>
      <x:c r="O133" s="42" t="str">
        <x:v>Standby répliqué et bascule testée; BI sur réplique ou vues dédiées, jamais par requêtes lourdes sur le primaire.</x:v>
      </x:c>
      <x:c r="P133" s="42" t="str">
        <x:v>Obligatoire</x:v>
      </x:c>
      <x:c r="Q133" s="42" t="str">
        <x:v>Critique</x:v>
      </x:c>
      <x:c r="R133" s="42" t="str">
        <x:v>Unitaire; intégration; autorisation; audit</x:v>
      </x:c>
      <x:c r="S133" s="42" t="n">
        <x:v>8</x:v>
      </x:c>
      <x:c r="T133" s="42" t="str">
        <x:v>À affecter</x:v>
      </x:c>
      <x:c r="U133" s="42" t="str"/>
    </x:row>
    <x:row r="134">
      <x:c r="A134" s="42" t="str">
        <x:v>US-DB-015</x:v>
      </x:c>
      <x:c r="B134" s="42" t="str">
        <x:v>DB-015</x:v>
      </x:c>
      <x:c r="C134" s="42" t="str">
        <x:v>PostgreSQL et données</x:v>
      </x:c>
      <x:c r="D134" s="42" t="str">
        <x:v>Superviser capacité, verrous, réplication, vacuum et requêtes lentes</x:v>
      </x:c>
      <x:c r="E134" s="42" t="str">
        <x:v>DBA / Développeur</x:v>
      </x:c>
      <x:c r="F134" s="42" t="str">
        <x:v>En tant que dba / développeur, je veux superviser capacité, verrous, réplication, vacuum et requêtes lentes. afin de garantir le fonctionnement attendu du module postgresql et données.</x:v>
      </x:c>
      <x:c r="G134" s="42" t="str">
        <x:v>Conformité métier, qualité de service et traçabilité.</x:v>
      </x:c>
      <x:c r="H134" s="42" t="str">
        <x:v>Must</x:v>
      </x:c>
      <x:c r="I134" s="42" t="str">
        <x:v>R0 - Fondations</x:v>
      </x:c>
      <x:c r="J134" s="42" t="str">
        <x:v>À faire</x:v>
      </x:c>
      <x:c r="K134" s="42" t="str">
        <x:v>Architecture et gouvernance approuvées</x:v>
      </x:c>
      <x:c r="L134" s="42" t="str">
        <x:v>DATA.ADMIN</x:v>
      </x:c>
      <x:c r="M134" s="42" t="str">
        <x:v>Schémas PostgreSQL</x:v>
      </x:c>
      <x:c r="N134" s="42" t="str">
        <x:v>N/A - migration Flyway</x:v>
      </x:c>
      <x:c r="O134" s="42" t="str">
        <x:v>Alertes, pg_stat_statements, seuils et runbooks d'intervention disponibles.</x:v>
      </x:c>
      <x:c r="P134" s="42" t="str">
        <x:v>Obligatoire</x:v>
      </x:c>
      <x:c r="Q134" s="42" t="str">
        <x:v>Critique</x:v>
      </x:c>
      <x:c r="R134" s="42" t="str">
        <x:v>Unitaire; intégration; autorisation; audit</x:v>
      </x:c>
      <x:c r="S134" s="42" t="n">
        <x:v>8</x:v>
      </x:c>
      <x:c r="T134" s="42" t="str">
        <x:v>À affecter</x:v>
      </x:c>
      <x:c r="U134" s="42" t="str"/>
    </x:row>
    <x:row r="135">
      <x:c r="A135" s="42" t="str">
        <x:v>US-DB-016</x:v>
      </x:c>
      <x:c r="B135" s="42" t="str">
        <x:v>DB-016</x:v>
      </x:c>
      <x:c r="C135" s="42" t="str">
        <x:v>PostgreSQL et données</x:v>
      </x:c>
      <x:c r="D135" s="42" t="str">
        <x:v>Assurer la réversibilité PostgreSQL complète</x:v>
      </x:c>
      <x:c r="E135" s="42" t="str">
        <x:v>DBA / Développeur</x:v>
      </x:c>
      <x:c r="F135" s="42" t="str">
        <x:v>En tant que dba / développeur, je veux assurer la réversibilité PostgreSQL complète. afin de garantir le fonctionnement attendu du module postgresql et données.</x:v>
      </x:c>
      <x:c r="G135" s="42" t="str">
        <x:v>Conformité métier, qualité de service et traçabilité.</x:v>
      </x:c>
      <x:c r="H135" s="42" t="str">
        <x:v>Must</x:v>
      </x:c>
      <x:c r="I135" s="42" t="str">
        <x:v>R0 - Fondations</x:v>
      </x:c>
      <x:c r="J135" s="42" t="str">
        <x:v>À faire</x:v>
      </x:c>
      <x:c r="K135" s="42" t="str">
        <x:v>Architecture et gouvernance approuvées</x:v>
      </x:c>
      <x:c r="L135" s="42" t="str">
        <x:v>DATA.ADMIN</x:v>
      </x:c>
      <x:c r="M135" s="42" t="str">
        <x:v>Schémas PostgreSQL</x:v>
      </x:c>
      <x:c r="N135" s="42" t="str">
        <x:v>N/A - migration Flyway</x:v>
      </x:c>
      <x:c r="O135" s="42" t="str">
        <x:v>Exports SQL et formats ouverts, schéma, dictionnaire, migrations, pièces et contrôles d’intégrité sont remis au CNPM.</x:v>
      </x:c>
      <x:c r="P135" s="42" t="str">
        <x:v>Obligatoire</x:v>
      </x:c>
      <x:c r="Q135" s="42" t="str">
        <x:v>Critique</x:v>
      </x:c>
      <x:c r="R135" s="42" t="str">
        <x:v>Unitaire; intégration; autorisation; audit</x:v>
      </x:c>
      <x:c r="S135" s="42" t="n">
        <x:v>8</x:v>
      </x:c>
      <x:c r="T135" s="42" t="str">
        <x:v>À affecter</x:v>
      </x:c>
      <x:c r="U135" s="42" t="str"/>
    </x:row>
    <x:row r="136">
      <x:c r="A136" s="42" t="str">
        <x:v>US-TEC-001</x:v>
      </x:c>
      <x:c r="B136" s="42" t="str">
        <x:v>TEC-001</x:v>
      </x:c>
      <x:c r="C136" s="42" t="str">
        <x:v>Architecture technique et exploitation</x:v>
      </x:c>
      <x:c r="D136" s="42" t="str">
        <x:v>Démontrer que PostgreSQL est l'unique source de vérité relationnelle</x:v>
      </x:c>
      <x:c r="E136" s="42" t="str">
        <x:v>Équipe technique</x:v>
      </x:c>
      <x:c r="F136" s="42" t="str">
        <x:v>En tant que équipe technique, je veux démontrer que PostgreSQL est l'unique source de vérité relationnelle. afin de garantir le fonctionnement attendu du module architecture technique et exploitation.</x:v>
      </x:c>
      <x:c r="G136" s="42" t="str">
        <x:v>Conformité métier, qualité de service et traçabilité.</x:v>
      </x:c>
      <x:c r="H136" s="42" t="str">
        <x:v>Must</x:v>
      </x:c>
      <x:c r="I136" s="42" t="str">
        <x:v>R0 - Fondations</x:v>
      </x:c>
      <x:c r="J136" s="42" t="str">
        <x:v>À faire</x:v>
      </x:c>
      <x:c r="K136" s="42" t="str">
        <x:v>Architecture et gouvernance approuvées</x:v>
      </x:c>
      <x:c r="L136" s="42" t="str">
        <x:v>OPS.MONITOR.READ</x:v>
      </x:c>
      <x:c r="M136" s="42" t="str">
        <x:v>Configuration et observabilité</x:v>
      </x:c>
      <x:c r="N136" s="42" t="str">
        <x:v>/actuator / observabilité</x:v>
      </x:c>
      <x:c r="O136" s="42" t="str">
        <x:v>Inventaire des stockages et test de reprise prouvent qu'aucune donnée métier ne dépend uniquement d'un cache ou broker.</x:v>
      </x:c>
      <x:c r="P136" s="42" t="str">
        <x:v>Obligatoire</x:v>
      </x:c>
      <x:c r="Q136" s="42" t="str">
        <x:v>Interne</x:v>
      </x:c>
      <x:c r="R136" s="42" t="str">
        <x:v>Unitaire; intégration; autorisation; audit</x:v>
      </x:c>
      <x:c r="S136" s="42" t="n">
        <x:v>8</x:v>
      </x:c>
      <x:c r="T136" s="42" t="str">
        <x:v>À affecter</x:v>
      </x:c>
      <x:c r="U136" s="42" t="str"/>
    </x:row>
    <x:row r="137">
      <x:c r="A137" s="42" t="str">
        <x:v>US-TEC-002</x:v>
      </x:c>
      <x:c r="B137" s="42" t="str">
        <x:v>TEC-002</x:v>
      </x:c>
      <x:c r="C137" s="42" t="str">
        <x:v>Architecture technique et exploitation</x:v>
      </x:c>
      <x:c r="D137" s="42" t="str">
        <x:v>Fournir la matrice complète des versions, licences, CVE et fins de support</x:v>
      </x:c>
      <x:c r="E137" s="42" t="str">
        <x:v>Équipe technique</x:v>
      </x:c>
      <x:c r="F137" s="42" t="str">
        <x:v>En tant que équipe technique, je veux fournir la matrice complète des versions, licences, CVE et fins de support. afin de garantir le fonctionnement attendu du module architecture technique et exploitation.</x:v>
      </x:c>
      <x:c r="G137" s="42" t="str">
        <x:v>Conformité métier, qualité de service et traçabilité.</x:v>
      </x:c>
      <x:c r="H137" s="42" t="str">
        <x:v>Must</x:v>
      </x:c>
      <x:c r="I137" s="42" t="str">
        <x:v>R0 - Fondations</x:v>
      </x:c>
      <x:c r="J137" s="42" t="str">
        <x:v>À faire</x:v>
      </x:c>
      <x:c r="K137" s="42" t="str">
        <x:v>Architecture et gouvernance approuvées</x:v>
      </x:c>
      <x:c r="L137" s="42" t="str">
        <x:v>OPS.MONITOR.READ</x:v>
      </x:c>
      <x:c r="M137" s="42" t="str">
        <x:v>Configuration et observabilité</x:v>
      </x:c>
      <x:c r="N137" s="42" t="str">
        <x:v>/actuator / observabilité</x:v>
      </x:c>
      <x:c r="O137" s="42" t="str">
        <x:v>Aucun composant en fin de vie ou sans correctif de sécurité dans la version candidate.</x:v>
      </x:c>
      <x:c r="P137" s="42" t="str">
        <x:v>Obligatoire</x:v>
      </x:c>
      <x:c r="Q137" s="42" t="str">
        <x:v>Interne</x:v>
      </x:c>
      <x:c r="R137" s="42" t="str">
        <x:v>Unitaire; intégration; autorisation; audit</x:v>
      </x:c>
      <x:c r="S137" s="42" t="n">
        <x:v>8</x:v>
      </x:c>
      <x:c r="T137" s="42" t="str">
        <x:v>À affecter</x:v>
      </x:c>
      <x:c r="U137" s="42" t="str"/>
    </x:row>
    <x:row r="138">
      <x:c r="A138" s="42" t="str">
        <x:v>US-TEC-003</x:v>
      </x:c>
      <x:c r="B138" s="42" t="str">
        <x:v>TEC-003</x:v>
      </x:c>
      <x:c r="C138" s="42" t="str">
        <x:v>Architecture technique et exploitation</x:v>
      </x:c>
      <x:c r="D138" s="42" t="str">
        <x:v>Interdire tout accès direct des applications clientes à PostgreSQL</x:v>
      </x:c>
      <x:c r="E138" s="42" t="str">
        <x:v>Équipe technique</x:v>
      </x:c>
      <x:c r="F138" s="42" t="str">
        <x:v>En tant que équipe technique, je veux interdire tout accès direct des applications clientes à PostgreSQL. afin de garantir le fonctionnement attendu du module architecture technique et exploitation.</x:v>
      </x:c>
      <x:c r="G138" s="42" t="str">
        <x:v>Conformité métier, qualité de service et traçabilité.</x:v>
      </x:c>
      <x:c r="H138" s="42" t="str">
        <x:v>Must</x:v>
      </x:c>
      <x:c r="I138" s="42" t="str">
        <x:v>R0 - Fondations</x:v>
      </x:c>
      <x:c r="J138" s="42" t="str">
        <x:v>À faire</x:v>
      </x:c>
      <x:c r="K138" s="42" t="str">
        <x:v>Architecture et gouvernance approuvées</x:v>
      </x:c>
      <x:c r="L138" s="42" t="str">
        <x:v>OPS.MONITOR.READ</x:v>
      </x:c>
      <x:c r="M138" s="42" t="str">
        <x:v>Configuration et observabilité</x:v>
      </x:c>
      <x:c r="N138" s="42" t="str">
        <x:v>/actuator / observabilité</x:v>
      </x:c>
      <x:c r="O138" s="42" t="str">
        <x:v>Web et mobile passent exclusivement par les API authentifiées et autorisées.</x:v>
      </x:c>
      <x:c r="P138" s="42" t="str">
        <x:v>Obligatoire</x:v>
      </x:c>
      <x:c r="Q138" s="42" t="str">
        <x:v>Interne</x:v>
      </x:c>
      <x:c r="R138" s="42" t="str">
        <x:v>Unitaire; intégration; autorisation; audit</x:v>
      </x:c>
      <x:c r="S138" s="42" t="n">
        <x:v>8</x:v>
      </x:c>
      <x:c r="T138" s="42" t="str">
        <x:v>À affecter</x:v>
      </x:c>
      <x:c r="U138" s="42" t="str"/>
    </x:row>
    <x:row r="139">
      <x:c r="A139" s="42" t="str">
        <x:v>US-TEC-004</x:v>
      </x:c>
      <x:c r="B139" s="42" t="str">
        <x:v>TEC-004</x:v>
      </x:c>
      <x:c r="C139" s="42" t="str">
        <x:v>Architecture technique et exploitation</x:v>
      </x:c>
      <x:c r="D139" s="42" t="str">
        <x:v>Reproduire un environnement depuis le code et les artefacts versionnés</x:v>
      </x:c>
      <x:c r="E139" s="42" t="str">
        <x:v>Équipe technique</x:v>
      </x:c>
      <x:c r="F139" s="42" t="str">
        <x:v>En tant que équipe technique, je veux reproduire un environnement depuis le code et les artefacts versionnés. afin de garantir le fonctionnement attendu du module architecture technique et exploitation.</x:v>
      </x:c>
      <x:c r="G139" s="42" t="str">
        <x:v>Conformité métier, qualité de service et traçabilité.</x:v>
      </x:c>
      <x:c r="H139" s="42" t="str">
        <x:v>Must</x:v>
      </x:c>
      <x:c r="I139" s="42" t="str">
        <x:v>R0 - Fondations</x:v>
      </x:c>
      <x:c r="J139" s="42" t="str">
        <x:v>À faire</x:v>
      </x:c>
      <x:c r="K139" s="42" t="str">
        <x:v>Architecture et gouvernance approuvées</x:v>
      </x:c>
      <x:c r="L139" s="42" t="str">
        <x:v>OPS.MONITOR.READ</x:v>
      </x:c>
      <x:c r="M139" s="42" t="str">
        <x:v>Configuration et observabilité</x:v>
      </x:c>
      <x:c r="N139" s="42" t="str">
        <x:v>/actuator / observabilité</x:v>
      </x:c>
      <x:c r="O139" s="42" t="str">
        <x:v>Installation automatisée sur environnement vierge avec résultat documenté.</x:v>
      </x:c>
      <x:c r="P139" s="42" t="str">
        <x:v>Obligatoire</x:v>
      </x:c>
      <x:c r="Q139" s="42" t="str">
        <x:v>Interne</x:v>
      </x:c>
      <x:c r="R139" s="42" t="str">
        <x:v>Unitaire; intégration; autorisation; audit</x:v>
      </x:c>
      <x:c r="S139" s="42" t="n">
        <x:v>8</x:v>
      </x:c>
      <x:c r="T139" s="42" t="str">
        <x:v>À affecter</x:v>
      </x:c>
      <x:c r="U139" s="42" t="str"/>
    </x:row>
    <x:row r="140">
      <x:c r="A140" s="42" t="str">
        <x:v>US-TEC-005</x:v>
      </x:c>
      <x:c r="B140" s="42" t="str">
        <x:v>TEC-005</x:v>
      </x:c>
      <x:c r="C140" s="42" t="str">
        <x:v>Architecture technique et exploitation</x:v>
      </x:c>
      <x:c r="D140" s="42" t="str">
        <x:v>Démontrer SSO, 2FA et séparation des rôles</x:v>
      </x:c>
      <x:c r="E140" s="42" t="str">
        <x:v>Équipe technique</x:v>
      </x:c>
      <x:c r="F140" s="42" t="str">
        <x:v>En tant que équipe technique, je veux démontrer SSO, 2FA et séparation des rôles. afin de garantir le fonctionnement attendu du module architecture technique et exploitation.</x:v>
      </x:c>
      <x:c r="G140" s="42" t="str">
        <x:v>Conformité métier, qualité de service et traçabilité.</x:v>
      </x:c>
      <x:c r="H140" s="42" t="str">
        <x:v>Must</x:v>
      </x:c>
      <x:c r="I140" s="42" t="str">
        <x:v>R0 - Fondations</x:v>
      </x:c>
      <x:c r="J140" s="42" t="str">
        <x:v>À faire</x:v>
      </x:c>
      <x:c r="K140" s="42" t="str">
        <x:v>Architecture et gouvernance approuvées</x:v>
      </x:c>
      <x:c r="L140" s="42" t="str">
        <x:v>OPS.MONITOR.READ</x:v>
      </x:c>
      <x:c r="M140" s="42" t="str">
        <x:v>Configuration et observabilité</x:v>
      </x:c>
      <x:c r="N140" s="42" t="str">
        <x:v>/actuator / observabilité</x:v>
      </x:c>
      <x:c r="O140" s="42" t="str">
        <x:v>Scénarios positifs/négatifs pour administrateur, finance, agent, auditeur et membre.</x:v>
      </x:c>
      <x:c r="P140" s="42" t="str">
        <x:v>Obligatoire</x:v>
      </x:c>
      <x:c r="Q140" s="42" t="str">
        <x:v>Interne</x:v>
      </x:c>
      <x:c r="R140" s="42" t="str">
        <x:v>Unitaire; intégration; autorisation; audit</x:v>
      </x:c>
      <x:c r="S140" s="42" t="n">
        <x:v>8</x:v>
      </x:c>
      <x:c r="T140" s="42" t="str">
        <x:v>À affecter</x:v>
      </x:c>
      <x:c r="U140" s="42" t="str"/>
    </x:row>
    <x:row r="141">
      <x:c r="A141" s="42" t="str">
        <x:v>US-TEC-006</x:v>
      </x:c>
      <x:c r="B141" s="42" t="str">
        <x:v>TEC-006</x:v>
      </x:c>
      <x:c r="C141" s="42" t="str">
        <x:v>Architecture technique et exploitation</x:v>
      </x:c>
      <x:c r="D141" s="42" t="str">
        <x:v>Restaurer PostgreSQL à un instant choisi</x:v>
      </x:c>
      <x:c r="E141" s="42" t="str">
        <x:v>Équipe technique</x:v>
      </x:c>
      <x:c r="F141" s="42" t="str">
        <x:v>En tant que équipe technique, je veux restaurer PostgreSQL à un instant choisi. afin de garantir le fonctionnement attendu du module architecture technique et exploitation.</x:v>
      </x:c>
      <x:c r="G141" s="42" t="str">
        <x:v>Conformité métier, qualité de service et traçabilité.</x:v>
      </x:c>
      <x:c r="H141" s="42" t="str">
        <x:v>Must</x:v>
      </x:c>
      <x:c r="I141" s="42" t="str">
        <x:v>R0 - Fondations</x:v>
      </x:c>
      <x:c r="J141" s="42" t="str">
        <x:v>À faire</x:v>
      </x:c>
      <x:c r="K141" s="42" t="str">
        <x:v>Architecture et gouvernance approuvées</x:v>
      </x:c>
      <x:c r="L141" s="42" t="str">
        <x:v>OPS.MONITOR.READ</x:v>
      </x:c>
      <x:c r="M141" s="42" t="str">
        <x:v>Configuration et observabilité</x:v>
      </x:c>
      <x:c r="N141" s="42" t="str">
        <x:v>/actuator / observabilité</x:v>
      </x:c>
      <x:c r="O141" s="42" t="str">
        <x:v>RPO/RTO mesurés, contrôles fonctionnels et rapprochement financier après restauration.</x:v>
      </x:c>
      <x:c r="P141" s="42" t="str">
        <x:v>Obligatoire</x:v>
      </x:c>
      <x:c r="Q141" s="42" t="str">
        <x:v>Interne</x:v>
      </x:c>
      <x:c r="R141" s="42" t="str">
        <x:v>Unitaire; intégration; autorisation; audit</x:v>
      </x:c>
      <x:c r="S141" s="42" t="n">
        <x:v>8</x:v>
      </x:c>
      <x:c r="T141" s="42" t="str">
        <x:v>À affecter</x:v>
      </x:c>
      <x:c r="U141" s="42" t="str"/>
    </x:row>
    <x:row r="142">
      <x:c r="A142" s="42" t="str">
        <x:v>US-TEC-007</x:v>
      </x:c>
      <x:c r="B142" s="42" t="str">
        <x:v>TEC-007</x:v>
      </x:c>
      <x:c r="C142" s="42" t="str">
        <x:v>Architecture technique et exploitation</x:v>
      </x:c>
      <x:c r="D142" s="42" t="str">
        <x:v>Tester la bascule d'un nœud applicatif et de la base</x:v>
      </x:c>
      <x:c r="E142" s="42" t="str">
        <x:v>Équipe technique</x:v>
      </x:c>
      <x:c r="F142" s="42" t="str">
        <x:v>En tant que équipe technique, je veux tester la bascule d'un nœud applicatif et de la base. afin de garantir le fonctionnement attendu du module architecture technique et exploitation.</x:v>
      </x:c>
      <x:c r="G142" s="42" t="str">
        <x:v>Conformité métier, qualité de service et traçabilité.</x:v>
      </x:c>
      <x:c r="H142" s="42" t="str">
        <x:v>Must</x:v>
      </x:c>
      <x:c r="I142" s="42" t="str">
        <x:v>R0 - Fondations</x:v>
      </x:c>
      <x:c r="J142" s="42" t="str">
        <x:v>À faire</x:v>
      </x:c>
      <x:c r="K142" s="42" t="str">
        <x:v>Architecture et gouvernance approuvées</x:v>
      </x:c>
      <x:c r="L142" s="42" t="str">
        <x:v>OPS.MONITOR.READ</x:v>
      </x:c>
      <x:c r="M142" s="42" t="str">
        <x:v>Configuration et observabilité</x:v>
      </x:c>
      <x:c r="N142" s="42" t="str">
        <x:v>/actuator / observabilité</x:v>
      </x:c>
      <x:c r="O142" s="42" t="str">
        <x:v>Aucune perte de transaction confirmée; reprise dans le SLA approuvé.</x:v>
      </x:c>
      <x:c r="P142" s="42" t="str">
        <x:v>Obligatoire</x:v>
      </x:c>
      <x:c r="Q142" s="42" t="str">
        <x:v>Interne</x:v>
      </x:c>
      <x:c r="R142" s="42" t="str">
        <x:v>Unitaire; intégration; autorisation; audit</x:v>
      </x:c>
      <x:c r="S142" s="42" t="n">
        <x:v>8</x:v>
      </x:c>
      <x:c r="T142" s="42" t="str">
        <x:v>À affecter</x:v>
      </x:c>
      <x:c r="U142" s="42" t="str"/>
    </x:row>
    <x:row r="143">
      <x:c r="A143" s="42" t="str">
        <x:v>US-TEC-008</x:v>
      </x:c>
      <x:c r="B143" s="42" t="str">
        <x:v>TEC-008</x:v>
      </x:c>
      <x:c r="C143" s="42" t="str">
        <x:v>Architecture technique et exploitation</x:v>
      </x:c>
      <x:c r="D143" s="42" t="str">
        <x:v>Valider les performances et la faible connectivité</x:v>
      </x:c>
      <x:c r="E143" s="42" t="str">
        <x:v>Équipe technique</x:v>
      </x:c>
      <x:c r="F143" s="42" t="str">
        <x:v>En tant que équipe technique, je veux valider les performances et la faible connectivité. afin de garantir le fonctionnement attendu du module architecture technique et exploitation.</x:v>
      </x:c>
      <x:c r="G143" s="42" t="str">
        <x:v>Conformité métier, qualité de service et traçabilité.</x:v>
      </x:c>
      <x:c r="H143" s="42" t="str">
        <x:v>Must</x:v>
      </x:c>
      <x:c r="I143" s="42" t="str">
        <x:v>R0 - Fondations</x:v>
      </x:c>
      <x:c r="J143" s="42" t="str">
        <x:v>À faire</x:v>
      </x:c>
      <x:c r="K143" s="42" t="str">
        <x:v>Architecture et gouvernance approuvées</x:v>
      </x:c>
      <x:c r="L143" s="42" t="str">
        <x:v>OPS.MONITOR.READ</x:v>
      </x:c>
      <x:c r="M143" s="42" t="str">
        <x:v>Configuration et observabilité</x:v>
      </x:c>
      <x:c r="N143" s="42" t="str">
        <x:v>/actuator / observabilité</x:v>
      </x:c>
      <x:c r="O143" s="42" t="str">
        <x:v>Les seuils de la section 17.4 sont atteints sur un jeu de données et une charge représentatifs.</x:v>
      </x:c>
      <x:c r="P143" s="42" t="str">
        <x:v>Obligatoire</x:v>
      </x:c>
      <x:c r="Q143" s="42" t="str">
        <x:v>Interne</x:v>
      </x:c>
      <x:c r="R143" s="42" t="str">
        <x:v>Unitaire; intégration; autorisation; audit</x:v>
      </x:c>
      <x:c r="S143" s="42" t="n">
        <x:v>8</x:v>
      </x:c>
      <x:c r="T143" s="42" t="str">
        <x:v>À affecter</x:v>
      </x:c>
      <x:c r="U143" s="42" t="str"/>
    </x:row>
    <x:row r="144">
      <x:c r="A144" s="42" t="str">
        <x:v>US-TEC-009</x:v>
      </x:c>
      <x:c r="B144" s="42" t="str">
        <x:v>TEC-009</x:v>
      </x:c>
      <x:c r="C144" s="42" t="str">
        <x:v>Architecture technique et exploitation</x:v>
      </x:c>
      <x:c r="D144" s="42" t="str">
        <x:v>Prouver l'idempotence des paiements et webhooks</x:v>
      </x:c>
      <x:c r="E144" s="42" t="str">
        <x:v>Équipe technique</x:v>
      </x:c>
      <x:c r="F144" s="42" t="str">
        <x:v>En tant que équipe technique, je veux prouver l'idempotence des paiements et webhooks. afin de garantir le fonctionnement attendu du module architecture technique et exploitation.</x:v>
      </x:c>
      <x:c r="G144" s="42" t="str">
        <x:v>Conformité métier, qualité de service et traçabilité.</x:v>
      </x:c>
      <x:c r="H144" s="42" t="str">
        <x:v>Must</x:v>
      </x:c>
      <x:c r="I144" s="42" t="str">
        <x:v>R0 - Fondations</x:v>
      </x:c>
      <x:c r="J144" s="42" t="str">
        <x:v>À faire</x:v>
      </x:c>
      <x:c r="K144" s="42" t="str">
        <x:v>Architecture et gouvernance approuvées</x:v>
      </x:c>
      <x:c r="L144" s="42" t="str">
        <x:v>OPS.MONITOR.READ</x:v>
      </x:c>
      <x:c r="M144" s="42" t="str">
        <x:v>Configuration et observabilité</x:v>
      </x:c>
      <x:c r="N144" s="42" t="str">
        <x:v>/actuator / observabilité</x:v>
      </x:c>
      <x:c r="O144" s="42" t="str">
        <x:v>Le même message rejoué plusieurs fois produit un seul effet financier.</x:v>
      </x:c>
      <x:c r="P144" s="42" t="str">
        <x:v>Obligatoire</x:v>
      </x:c>
      <x:c r="Q144" s="42" t="str">
        <x:v>Interne</x:v>
      </x:c>
      <x:c r="R144" s="42" t="str">
        <x:v>Unitaire; intégration; autorisation; audit</x:v>
      </x:c>
      <x:c r="S144" s="42" t="n">
        <x:v>8</x:v>
      </x:c>
      <x:c r="T144" s="42" t="str">
        <x:v>À affecter</x:v>
      </x:c>
      <x:c r="U144" s="42" t="str"/>
    </x:row>
    <x:row r="145">
      <x:c r="A145" s="42" t="str">
        <x:v>US-TEC-010</x:v>
      </x:c>
      <x:c r="B145" s="42" t="str">
        <x:v>TEC-010</x:v>
      </x:c>
      <x:c r="C145" s="42" t="str">
        <x:v>Architecture technique et exploitation</x:v>
      </x:c>
      <x:c r="D145" s="42" t="str">
        <x:v>Corréler logs, métriques et traces</x:v>
      </x:c>
      <x:c r="E145" s="42" t="str">
        <x:v>Équipe technique</x:v>
      </x:c>
      <x:c r="F145" s="42" t="str">
        <x:v>En tant que équipe technique, je veux corréler logs, métriques et traces. afin de garantir le fonctionnement attendu du module architecture technique et exploitation.</x:v>
      </x:c>
      <x:c r="G145" s="42" t="str">
        <x:v>Conformité métier, qualité de service et traçabilité.</x:v>
      </x:c>
      <x:c r="H145" s="42" t="str">
        <x:v>Should</x:v>
      </x:c>
      <x:c r="I145" s="42" t="str">
        <x:v>R0 - Fondations</x:v>
      </x:c>
      <x:c r="J145" s="42" t="str">
        <x:v>À faire</x:v>
      </x:c>
      <x:c r="K145" s="42" t="str">
        <x:v>Architecture et gouvernance approuvées</x:v>
      </x:c>
      <x:c r="L145" s="42" t="str">
        <x:v>OPS.MONITOR.READ</x:v>
      </x:c>
      <x:c r="M145" s="42" t="str">
        <x:v>Configuration et observabilité</x:v>
      </x:c>
      <x:c r="N145" s="42" t="str">
        <x:v>/actuator / observabilité</x:v>
      </x:c>
      <x:c r="O145" s="42" t="str">
        <x:v>Une transaction de test est suivie de l'interface jusqu'à PostgreSQL et aux intégrations par correlation_id.</x:v>
      </x:c>
      <x:c r="P145" s="42" t="str">
        <x:v>Selon action</x:v>
      </x:c>
      <x:c r="Q145" s="42" t="str">
        <x:v>Interne</x:v>
      </x:c>
      <x:c r="R145" s="42" t="str">
        <x:v>Unitaire; intégration; autorisation; audit</x:v>
      </x:c>
      <x:c r="S145" s="42" t="n">
        <x:v>5</x:v>
      </x:c>
      <x:c r="T145" s="42" t="str">
        <x:v>À affecter</x:v>
      </x:c>
      <x:c r="U145" s="42" t="str"/>
    </x:row>
    <x:row r="146">
      <x:c r="A146" s="42" t="str">
        <x:v>US-TEC-011</x:v>
      </x:c>
      <x:c r="B146" s="42" t="str">
        <x:v>TEC-011</x:v>
      </x:c>
      <x:c r="C146" s="42" t="str">
        <x:v>Architecture technique et exploitation</x:v>
      </x:c>
      <x:c r="D146" s="42" t="str">
        <x:v>Appliquer les portes de sécurité CI/CD</x:v>
      </x:c>
      <x:c r="E146" s="42" t="str">
        <x:v>Équipe technique</x:v>
      </x:c>
      <x:c r="F146" s="42" t="str">
        <x:v>En tant que équipe technique, je veux appliquer les portes de sécurité CI/CD. afin de garantir le fonctionnement attendu du module architecture technique et exploitation.</x:v>
      </x:c>
      <x:c r="G146" s="42" t="str">
        <x:v>Conformité métier, qualité de service et traçabilité.</x:v>
      </x:c>
      <x:c r="H146" s="42" t="str">
        <x:v>Must</x:v>
      </x:c>
      <x:c r="I146" s="42" t="str">
        <x:v>R0 - Fondations</x:v>
      </x:c>
      <x:c r="J146" s="42" t="str">
        <x:v>À faire</x:v>
      </x:c>
      <x:c r="K146" s="42" t="str">
        <x:v>Architecture et gouvernance approuvées</x:v>
      </x:c>
      <x:c r="L146" s="42" t="str">
        <x:v>OPS.MONITOR.READ</x:v>
      </x:c>
      <x:c r="M146" s="42" t="str">
        <x:v>Configuration et observabilité</x:v>
      </x:c>
      <x:c r="N146" s="42" t="str">
        <x:v>/actuator / observabilité</x:v>
      </x:c>
      <x:c r="O146" s="42" t="str">
        <x:v>Un secret de test, une vulnérabilité critique et un test échoué bloquent effectivement la promotion.</x:v>
      </x:c>
      <x:c r="P146" s="42" t="str">
        <x:v>Obligatoire</x:v>
      </x:c>
      <x:c r="Q146" s="42" t="str">
        <x:v>Interne</x:v>
      </x:c>
      <x:c r="R146" s="42" t="str">
        <x:v>Unitaire; intégration; autorisation; audit</x:v>
      </x:c>
      <x:c r="S146" s="42" t="n">
        <x:v>8</x:v>
      </x:c>
      <x:c r="T146" s="42" t="str">
        <x:v>À affecter</x:v>
      </x:c>
      <x:c r="U146" s="42" t="str"/>
    </x:row>
    <x:row r="147">
      <x:c r="A147" s="42" t="str">
        <x:v>US-TEC-012</x:v>
      </x:c>
      <x:c r="B147" s="42" t="str">
        <x:v>TEC-012</x:v>
      </x:c>
      <x:c r="C147" s="42" t="str">
        <x:v>Architecture technique et exploitation</x:v>
      </x:c>
      <x:c r="D147" s="42" t="str">
        <x:v>Exécuter un exercice de réversibilité</x:v>
      </x:c>
      <x:c r="E147" s="42" t="str">
        <x:v>Équipe technique</x:v>
      </x:c>
      <x:c r="F147" s="42" t="str">
        <x:v>En tant que équipe technique, je veux exécuter un exercice de réversibilité. afin de garantir le fonctionnement attendu du module architecture technique et exploitation.</x:v>
      </x:c>
      <x:c r="G147" s="42" t="str">
        <x:v>Conformité métier, qualité de service et traçabilité.</x:v>
      </x:c>
      <x:c r="H147" s="42" t="str">
        <x:v>Must</x:v>
      </x:c>
      <x:c r="I147" s="42" t="str">
        <x:v>R0 - Fondations</x:v>
      </x:c>
      <x:c r="J147" s="42" t="str">
        <x:v>À faire</x:v>
      </x:c>
      <x:c r="K147" s="42" t="str">
        <x:v>Architecture et gouvernance approuvées</x:v>
      </x:c>
      <x:c r="L147" s="42" t="str">
        <x:v>OPS.MONITOR.READ</x:v>
      </x:c>
      <x:c r="M147" s="42" t="str">
        <x:v>Configuration et observabilité</x:v>
      </x:c>
      <x:c r="N147" s="42" t="str">
        <x:v>/actuator / observabilité</x:v>
      </x:c>
      <x:c r="O147" s="42" t="str">
        <x:v>Code, images, configuration, schéma, migrations, données et pièces sont exportés puis réinstallés sous contrôle CNPM.</x:v>
      </x:c>
      <x:c r="P147" s="42" t="str">
        <x:v>Obligatoire</x:v>
      </x:c>
      <x:c r="Q147" s="42" t="str">
        <x:v>Interne</x:v>
      </x:c>
      <x:c r="R147" s="42" t="str">
        <x:v>Unitaire; intégration; autorisation; audit</x:v>
      </x:c>
      <x:c r="S147" s="42" t="n">
        <x:v>8</x:v>
      </x:c>
      <x:c r="T147" s="42" t="str">
        <x:v>À affecter</x:v>
      </x:c>
      <x:c r="U147" s="42" t="str"/>
    </x:row>
  </x:sheetData>
  <x:mergeCells>
    <x:mergeCell ref="A1:U1"/>
    <x:mergeCell ref="A2:U2"/>
  </x:mergeCells>
  <x:conditionalFormatting sqref="J4:J147">
    <x:cfRule type="expression" dxfId="0" priority="1">
      <x:formula>J4="Terminée"</x:formula>
    </x:cfRule>
    <x:cfRule type="expression" dxfId="1" priority="2">
      <x:formula>J4="Bloquée"</x:formula>
    </x:cfRule>
  </x:conditionalFormatting>
  <x:dataValidations count="3">
    <x:dataValidation type="list" sqref="H4:H147">
      <x:formula1>"Must,Should,Could"</x:formula1>
    </x:dataValidation>
    <x:dataValidation type="list" sqref="I4:I147">
      <x:formula1>"R0 - Fondations,R1 - PoC bout en bout,R2 - Portail et extension,R3 - Services premium"</x:formula1>
    </x:dataValidation>
    <x:dataValidation type="list" sqref="J4:J147">
      <x:formula1>"À faire,Prête,En cours,En revue,En recette,Terminée,Bloquée"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0" hidden="0" customWidth="1"/>
    <x:col min="4" max="4" width="36" hidden="0" customWidth="1"/>
    <x:col min="5" max="5" width="38" hidden="0" customWidth="1"/>
    <x:col min="6" max="6" width="45" hidden="0" customWidth="1"/>
    <x:col min="7" max="7" width="30" hidden="0" customWidth="1"/>
    <x:col min="8" max="8" width="18" hidden="0" customWidth="1"/>
    <x:col min="9" max="9" width="18" hidden="0" customWidth="1"/>
    <x:col min="10" max="10" width="25" hidden="0" customWidth="1"/>
    <x:col min="11" max="11" width="20" hidden="0" customWidth="1"/>
  </x:cols>
  <x:sheetData>
    <x:row r="1" ht="30" customHeight="1">
      <x:c r="A1" s="4" t="str">
        <x:v>Matrice de traçabilité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10" t="str">
        <x:v>Relie la source métier aux preuves d’implémentation et de recette.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30" customHeight="1">
      <x:c r="A3" s="37" t="str">
        <x:v>ID Exigence</x:v>
      </x:c>
      <x:c r="B3" s="37" t="str">
        <x:v>ID Story</x:v>
      </x:c>
      <x:c r="C3" s="37" t="str">
        <x:v>Module</x:v>
      </x:c>
      <x:c r="D3" s="37" t="str">
        <x:v>Source métier</x:v>
      </x:c>
      <x:c r="E3" s="37" t="str">
        <x:v>API / Contrat</x:v>
      </x:c>
      <x:c r="F3" s="37" t="str">
        <x:v>Données principales</x:v>
      </x:c>
      <x:c r="G3" s="37" t="str">
        <x:v>Permission</x:v>
      </x:c>
      <x:c r="H3" s="37" t="str">
        <x:v>Cas nominal</x:v>
      </x:c>
      <x:c r="I3" s="37" t="str">
        <x:v>Cas de contrôle</x:v>
      </x:c>
      <x:c r="J3" s="37" t="str">
        <x:v>Release</x:v>
      </x:c>
      <x:c r="K3" s="37" t="str">
        <x:v>Statut de preuve</x:v>
      </x:c>
    </x:row>
    <x:row r="4">
      <x:c r="A4" s="42" t="str">
        <x:v>ADM-001</x:v>
      </x:c>
      <x:c r="B4" s="42" t="str">
        <x:v>US-ADM-001</x:v>
      </x:c>
      <x:c r="C4" s="42" t="str">
        <x:v>Administration et paramétrage</x:v>
      </x:c>
      <x:c r="D4" s="42" t="str">
        <x:v>Spécifications fonctionnelles CNPM v1.1</x:v>
      </x:c>
      <x:c r="E4" s="42" t="str">
        <x:v>/api/v1/admin/referentials</x:v>
      </x:c>
      <x:c r="F4" s="42" t="str">
        <x:v>ref.reference_value; ref.number_sequence</x:v>
      </x:c>
      <x:c r="G4" s="42" t="str">
        <x:v>ADMIN.REFERENTIAL.WRITE</x:v>
      </x:c>
      <x:c r="H4" s="42" t="str">
        <x:v>TC-ADM-001-NOM</x:v>
      </x:c>
      <x:c r="I4" s="42" t="str">
        <x:v>TC-ADM-001-CTRL</x:v>
      </x:c>
      <x:c r="J4" s="42" t="str">
        <x:v>R0 - Fondations</x:v>
      </x:c>
      <x:c r="K4" s="42" t="str">
        <x:v>À produire</x:v>
      </x:c>
    </x:row>
    <x:row r="5">
      <x:c r="A5" s="42" t="str">
        <x:v>ADM-002</x:v>
      </x:c>
      <x:c r="B5" s="42" t="str">
        <x:v>US-ADM-002</x:v>
      </x:c>
      <x:c r="C5" s="42" t="str">
        <x:v>Administration et paramétrage</x:v>
      </x:c>
      <x:c r="D5" s="42" t="str">
        <x:v>Spécifications fonctionnelles CNPM v1.1</x:v>
      </x:c>
      <x:c r="E5" s="42" t="str">
        <x:v>/api/v1/admin/referentials</x:v>
      </x:c>
      <x:c r="F5" s="42" t="str">
        <x:v>ref.reference_value; ref.number_sequence</x:v>
      </x:c>
      <x:c r="G5" s="42" t="str">
        <x:v>ADMIN.REFERENTIAL.WRITE</x:v>
      </x:c>
      <x:c r="H5" s="42" t="str">
        <x:v>TC-ADM-002-NOM</x:v>
      </x:c>
      <x:c r="I5" s="42" t="str">
        <x:v>TC-ADM-002-CTRL</x:v>
      </x:c>
      <x:c r="J5" s="42" t="str">
        <x:v>R0 - Fondations</x:v>
      </x:c>
      <x:c r="K5" s="42" t="str">
        <x:v>À produire</x:v>
      </x:c>
    </x:row>
    <x:row r="6">
      <x:c r="A6" s="42" t="str">
        <x:v>ADM-003</x:v>
      </x:c>
      <x:c r="B6" s="42" t="str">
        <x:v>US-ADM-003</x:v>
      </x:c>
      <x:c r="C6" s="42" t="str">
        <x:v>Administration et paramétrage</x:v>
      </x:c>
      <x:c r="D6" s="42" t="str">
        <x:v>Spécifications fonctionnelles CNPM v1.1</x:v>
      </x:c>
      <x:c r="E6" s="42" t="str">
        <x:v>/api/v1/admin/referentials</x:v>
      </x:c>
      <x:c r="F6" s="42" t="str">
        <x:v>ref.reference_value; ref.number_sequence</x:v>
      </x:c>
      <x:c r="G6" s="42" t="str">
        <x:v>ADMIN.REFERENTIAL.WRITE</x:v>
      </x:c>
      <x:c r="H6" s="42" t="str">
        <x:v>TC-ADM-003-NOM</x:v>
      </x:c>
      <x:c r="I6" s="42" t="str">
        <x:v>TC-ADM-003-CTRL</x:v>
      </x:c>
      <x:c r="J6" s="42" t="str">
        <x:v>R0 - Fondations</x:v>
      </x:c>
      <x:c r="K6" s="42" t="str">
        <x:v>À produire</x:v>
      </x:c>
    </x:row>
    <x:row r="7">
      <x:c r="A7" s="42" t="str">
        <x:v>ADM-004</x:v>
      </x:c>
      <x:c r="B7" s="42" t="str">
        <x:v>US-ADM-004</x:v>
      </x:c>
      <x:c r="C7" s="42" t="str">
        <x:v>Administration et paramétrage</x:v>
      </x:c>
      <x:c r="D7" s="42" t="str">
        <x:v>Spécifications fonctionnelles CNPM v1.1</x:v>
      </x:c>
      <x:c r="E7" s="42" t="str">
        <x:v>/api/v1/admin/referentials</x:v>
      </x:c>
      <x:c r="F7" s="42" t="str">
        <x:v>ref.reference_value; ref.number_sequence</x:v>
      </x:c>
      <x:c r="G7" s="42" t="str">
        <x:v>ADMIN.REFERENTIAL.WRITE</x:v>
      </x:c>
      <x:c r="H7" s="42" t="str">
        <x:v>TC-ADM-004-NOM</x:v>
      </x:c>
      <x:c r="I7" s="42" t="str">
        <x:v>TC-ADM-004-CTRL</x:v>
      </x:c>
      <x:c r="J7" s="42" t="str">
        <x:v>R0 - Fondations</x:v>
      </x:c>
      <x:c r="K7" s="42" t="str">
        <x:v>À produire</x:v>
      </x:c>
    </x:row>
    <x:row r="8">
      <x:c r="A8" s="42" t="str">
        <x:v>ADM-005</x:v>
      </x:c>
      <x:c r="B8" s="42" t="str">
        <x:v>US-ADM-005</x:v>
      </x:c>
      <x:c r="C8" s="42" t="str">
        <x:v>Administration et paramétrage</x:v>
      </x:c>
      <x:c r="D8" s="42" t="str">
        <x:v>Spécifications fonctionnelles CNPM v1.1</x:v>
      </x:c>
      <x:c r="E8" s="42" t="str">
        <x:v>/api/v1/admin/referentials</x:v>
      </x:c>
      <x:c r="F8" s="42" t="str">
        <x:v>ref.reference_value; ref.number_sequence</x:v>
      </x:c>
      <x:c r="G8" s="42" t="str">
        <x:v>ADMIN.REFERENTIAL.WRITE</x:v>
      </x:c>
      <x:c r="H8" s="42" t="str">
        <x:v>TC-ADM-005-NOM</x:v>
      </x:c>
      <x:c r="I8" s="42" t="str">
        <x:v>TC-ADM-005-CTRL</x:v>
      </x:c>
      <x:c r="J8" s="42" t="str">
        <x:v>R0 - Fondations</x:v>
      </x:c>
      <x:c r="K8" s="42" t="str">
        <x:v>À produire</x:v>
      </x:c>
    </x:row>
    <x:row r="9">
      <x:c r="A9" s="42" t="str">
        <x:v>MEM-001</x:v>
      </x:c>
      <x:c r="B9" s="42" t="str">
        <x:v>US-MEM-001</x:v>
      </x:c>
      <x:c r="C9" s="42" t="str">
        <x:v>Membres et entreprises</x:v>
      </x:c>
      <x:c r="D9" s="42" t="str">
        <x:v>Spécifications fonctionnelles CNPM v1.1</x:v>
      </x:c>
      <x:c r="E9" s="42" t="str">
        <x:v>/api/v1/organizations</x:v>
      </x:c>
      <x:c r="F9" s="42" t="str">
        <x:v>member.organization; member.membership</x:v>
      </x:c>
      <x:c r="G9" s="42" t="str">
        <x:v>MEMBER.WRITE</x:v>
      </x:c>
      <x:c r="H9" s="42" t="str">
        <x:v>TC-MEM-001-NOM</x:v>
      </x:c>
      <x:c r="I9" s="42" t="str">
        <x:v>TC-MEM-001-CTRL</x:v>
      </x:c>
      <x:c r="J9" s="42" t="str">
        <x:v>R1 - PoC bout en bout</x:v>
      </x:c>
      <x:c r="K9" s="42" t="str">
        <x:v>À produire</x:v>
      </x:c>
    </x:row>
    <x:row r="10">
      <x:c r="A10" s="42" t="str">
        <x:v>MEM-002</x:v>
      </x:c>
      <x:c r="B10" s="42" t="str">
        <x:v>US-MEM-002</x:v>
      </x:c>
      <x:c r="C10" s="42" t="str">
        <x:v>Membres et entreprises</x:v>
      </x:c>
      <x:c r="D10" s="42" t="str">
        <x:v>Spécifications fonctionnelles CNPM v1.1</x:v>
      </x:c>
      <x:c r="E10" s="42" t="str">
        <x:v>/api/v1/organizations</x:v>
      </x:c>
      <x:c r="F10" s="42" t="str">
        <x:v>member.organization; member.membership</x:v>
      </x:c>
      <x:c r="G10" s="42" t="str">
        <x:v>MEMBER.WRITE</x:v>
      </x:c>
      <x:c r="H10" s="42" t="str">
        <x:v>TC-MEM-002-NOM</x:v>
      </x:c>
      <x:c r="I10" s="42" t="str">
        <x:v>TC-MEM-002-CTRL</x:v>
      </x:c>
      <x:c r="J10" s="42" t="str">
        <x:v>R1 - PoC bout en bout</x:v>
      </x:c>
      <x:c r="K10" s="42" t="str">
        <x:v>À produire</x:v>
      </x:c>
    </x:row>
    <x:row r="11">
      <x:c r="A11" s="42" t="str">
        <x:v>MEM-003</x:v>
      </x:c>
      <x:c r="B11" s="42" t="str">
        <x:v>US-MEM-003</x:v>
      </x:c>
      <x:c r="C11" s="42" t="str">
        <x:v>Membres et entreprises</x:v>
      </x:c>
      <x:c r="D11" s="42" t="str">
        <x:v>Spécifications fonctionnelles CNPM v1.1</x:v>
      </x:c>
      <x:c r="E11" s="42" t="str">
        <x:v>/api/v1/organizations</x:v>
      </x:c>
      <x:c r="F11" s="42" t="str">
        <x:v>member.organization; member.membership</x:v>
      </x:c>
      <x:c r="G11" s="42" t="str">
        <x:v>MEMBER.WRITE</x:v>
      </x:c>
      <x:c r="H11" s="42" t="str">
        <x:v>TC-MEM-003-NOM</x:v>
      </x:c>
      <x:c r="I11" s="42" t="str">
        <x:v>TC-MEM-003-CTRL</x:v>
      </x:c>
      <x:c r="J11" s="42" t="str">
        <x:v>R1 - PoC bout en bout</x:v>
      </x:c>
      <x:c r="K11" s="42" t="str">
        <x:v>À produire</x:v>
      </x:c>
    </x:row>
    <x:row r="12">
      <x:c r="A12" s="42" t="str">
        <x:v>MEM-004</x:v>
      </x:c>
      <x:c r="B12" s="42" t="str">
        <x:v>US-MEM-004</x:v>
      </x:c>
      <x:c r="C12" s="42" t="str">
        <x:v>Membres et entreprises</x:v>
      </x:c>
      <x:c r="D12" s="42" t="str">
        <x:v>Spécifications fonctionnelles CNPM v1.1</x:v>
      </x:c>
      <x:c r="E12" s="42" t="str">
        <x:v>/api/v1/organizations</x:v>
      </x:c>
      <x:c r="F12" s="42" t="str">
        <x:v>member.organization; member.membership</x:v>
      </x:c>
      <x:c r="G12" s="42" t="str">
        <x:v>MEMBER.WRITE</x:v>
      </x:c>
      <x:c r="H12" s="42" t="str">
        <x:v>TC-MEM-004-NOM</x:v>
      </x:c>
      <x:c r="I12" s="42" t="str">
        <x:v>TC-MEM-004-CTRL</x:v>
      </x:c>
      <x:c r="J12" s="42" t="str">
        <x:v>R1 - PoC bout en bout</x:v>
      </x:c>
      <x:c r="K12" s="42" t="str">
        <x:v>À produire</x:v>
      </x:c>
    </x:row>
    <x:row r="13">
      <x:c r="A13" s="42" t="str">
        <x:v>MEM-005</x:v>
      </x:c>
      <x:c r="B13" s="42" t="str">
        <x:v>US-MEM-005</x:v>
      </x:c>
      <x:c r="C13" s="42" t="str">
        <x:v>Membres et entreprises</x:v>
      </x:c>
      <x:c r="D13" s="42" t="str">
        <x:v>Spécifications fonctionnelles CNPM v1.1</x:v>
      </x:c>
      <x:c r="E13" s="42" t="str">
        <x:v>/api/v1/organizations</x:v>
      </x:c>
      <x:c r="F13" s="42" t="str">
        <x:v>member.organization; member.membership</x:v>
      </x:c>
      <x:c r="G13" s="42" t="str">
        <x:v>MEMBER.WRITE</x:v>
      </x:c>
      <x:c r="H13" s="42" t="str">
        <x:v>TC-MEM-005-NOM</x:v>
      </x:c>
      <x:c r="I13" s="42" t="str">
        <x:v>TC-MEM-005-CTRL</x:v>
      </x:c>
      <x:c r="J13" s="42" t="str">
        <x:v>R1 - PoC bout en bout</x:v>
      </x:c>
      <x:c r="K13" s="42" t="str">
        <x:v>À produire</x:v>
      </x:c>
    </x:row>
    <x:row r="14">
      <x:c r="A14" s="42" t="str">
        <x:v>MEM-006</x:v>
      </x:c>
      <x:c r="B14" s="42" t="str">
        <x:v>US-MEM-006</x:v>
      </x:c>
      <x:c r="C14" s="42" t="str">
        <x:v>Membres et entreprises</x:v>
      </x:c>
      <x:c r="D14" s="42" t="str">
        <x:v>Spécifications fonctionnelles CNPM v1.1</x:v>
      </x:c>
      <x:c r="E14" s="42" t="str">
        <x:v>/api/v1/organizations</x:v>
      </x:c>
      <x:c r="F14" s="42" t="str">
        <x:v>member.organization; member.membership</x:v>
      </x:c>
      <x:c r="G14" s="42" t="str">
        <x:v>MEMBER.WRITE</x:v>
      </x:c>
      <x:c r="H14" s="42" t="str">
        <x:v>TC-MEM-006-NOM</x:v>
      </x:c>
      <x:c r="I14" s="42" t="str">
        <x:v>TC-MEM-006-CTRL</x:v>
      </x:c>
      <x:c r="J14" s="42" t="str">
        <x:v>R1 - PoC bout en bout</x:v>
      </x:c>
      <x:c r="K14" s="42" t="str">
        <x:v>À produire</x:v>
      </x:c>
    </x:row>
    <x:row r="15">
      <x:c r="A15" s="42" t="str">
        <x:v>MEM-007</x:v>
      </x:c>
      <x:c r="B15" s="42" t="str">
        <x:v>US-MEM-007</x:v>
      </x:c>
      <x:c r="C15" s="42" t="str">
        <x:v>Membres et entreprises</x:v>
      </x:c>
      <x:c r="D15" s="42" t="str">
        <x:v>Spécifications fonctionnelles CNPM v1.1</x:v>
      </x:c>
      <x:c r="E15" s="42" t="str">
        <x:v>/api/v1/organizations</x:v>
      </x:c>
      <x:c r="F15" s="42" t="str">
        <x:v>member.organization; member.membership</x:v>
      </x:c>
      <x:c r="G15" s="42" t="str">
        <x:v>MEMBER.WRITE</x:v>
      </x:c>
      <x:c r="H15" s="42" t="str">
        <x:v>TC-MEM-007-NOM</x:v>
      </x:c>
      <x:c r="I15" s="42" t="str">
        <x:v>TC-MEM-007-CTRL</x:v>
      </x:c>
      <x:c r="J15" s="42" t="str">
        <x:v>R1 - PoC bout en bout</x:v>
      </x:c>
      <x:c r="K15" s="42" t="str">
        <x:v>À produire</x:v>
      </x:c>
    </x:row>
    <x:row r="16">
      <x:c r="A16" s="42" t="str">
        <x:v>MEM-008</x:v>
      </x:c>
      <x:c r="B16" s="42" t="str">
        <x:v>US-MEM-008</x:v>
      </x:c>
      <x:c r="C16" s="42" t="str">
        <x:v>Membres et entreprises</x:v>
      </x:c>
      <x:c r="D16" s="42" t="str">
        <x:v>Spécifications fonctionnelles CNPM v1.1</x:v>
      </x:c>
      <x:c r="E16" s="42" t="str">
        <x:v>/api/v1/organizations</x:v>
      </x:c>
      <x:c r="F16" s="42" t="str">
        <x:v>member.organization; member.membership</x:v>
      </x:c>
      <x:c r="G16" s="42" t="str">
        <x:v>MEMBER.WRITE</x:v>
      </x:c>
      <x:c r="H16" s="42" t="str">
        <x:v>TC-MEM-008-NOM</x:v>
      </x:c>
      <x:c r="I16" s="42" t="str">
        <x:v>TC-MEM-008-CTRL</x:v>
      </x:c>
      <x:c r="J16" s="42" t="str">
        <x:v>R1 - PoC bout en bout</x:v>
      </x:c>
      <x:c r="K16" s="42" t="str">
        <x:v>À produire</x:v>
      </x:c>
    </x:row>
    <x:row r="17">
      <x:c r="A17" s="42" t="str">
        <x:v>ENR-001</x:v>
      </x:c>
      <x:c r="B17" s="42" t="str">
        <x:v>US-ENR-001</x:v>
      </x:c>
      <x:c r="C17" s="42" t="str">
        <x:v>Enrôlement et adhésion</x:v>
      </x:c>
      <x:c r="D17" s="42" t="str">
        <x:v>Spécifications fonctionnelles CNPM v1.1</x:v>
      </x:c>
      <x:c r="E17" s="42" t="str">
        <x:v>/api/v1/enrollments</x:v>
      </x:c>
      <x:c r="F17" s="42" t="str">
        <x:v>enrollment.enrollment_case; enrollment.enrollment_decision</x:v>
      </x:c>
      <x:c r="G17" s="42" t="str">
        <x:v>ENROLLMENT.APPROVE</x:v>
      </x:c>
      <x:c r="H17" s="42" t="str">
        <x:v>TC-ENR-001-NOM</x:v>
      </x:c>
      <x:c r="I17" s="42" t="str">
        <x:v>TC-ENR-001-CTRL</x:v>
      </x:c>
      <x:c r="J17" s="42" t="str">
        <x:v>R1 - PoC bout en bout</x:v>
      </x:c>
      <x:c r="K17" s="42" t="str">
        <x:v>À produire</x:v>
      </x:c>
    </x:row>
    <x:row r="18">
      <x:c r="A18" s="42" t="str">
        <x:v>ENR-002</x:v>
      </x:c>
      <x:c r="B18" s="42" t="str">
        <x:v>US-ENR-002</x:v>
      </x:c>
      <x:c r="C18" s="42" t="str">
        <x:v>Enrôlement et adhésion</x:v>
      </x:c>
      <x:c r="D18" s="42" t="str">
        <x:v>Spécifications fonctionnelles CNPM v1.1</x:v>
      </x:c>
      <x:c r="E18" s="42" t="str">
        <x:v>/api/v1/enrollments</x:v>
      </x:c>
      <x:c r="F18" s="42" t="str">
        <x:v>enrollment.enrollment_case; enrollment.enrollment_decision</x:v>
      </x:c>
      <x:c r="G18" s="42" t="str">
        <x:v>ENROLLMENT.APPROVE</x:v>
      </x:c>
      <x:c r="H18" s="42" t="str">
        <x:v>TC-ENR-002-NOM</x:v>
      </x:c>
      <x:c r="I18" s="42" t="str">
        <x:v>TC-ENR-002-CTRL</x:v>
      </x:c>
      <x:c r="J18" s="42" t="str">
        <x:v>R1 - PoC bout en bout</x:v>
      </x:c>
      <x:c r="K18" s="42" t="str">
        <x:v>À produire</x:v>
      </x:c>
    </x:row>
    <x:row r="19">
      <x:c r="A19" s="42" t="str">
        <x:v>ENR-003</x:v>
      </x:c>
      <x:c r="B19" s="42" t="str">
        <x:v>US-ENR-003</x:v>
      </x:c>
      <x:c r="C19" s="42" t="str">
        <x:v>Enrôlement et adhésion</x:v>
      </x:c>
      <x:c r="D19" s="42" t="str">
        <x:v>Spécifications fonctionnelles CNPM v1.1</x:v>
      </x:c>
      <x:c r="E19" s="42" t="str">
        <x:v>/api/v1/enrollments</x:v>
      </x:c>
      <x:c r="F19" s="42" t="str">
        <x:v>enrollment.enrollment_case; enrollment.enrollment_decision</x:v>
      </x:c>
      <x:c r="G19" s="42" t="str">
        <x:v>ENROLLMENT.APPROVE</x:v>
      </x:c>
      <x:c r="H19" s="42" t="str">
        <x:v>TC-ENR-003-NOM</x:v>
      </x:c>
      <x:c r="I19" s="42" t="str">
        <x:v>TC-ENR-003-CTRL</x:v>
      </x:c>
      <x:c r="J19" s="42" t="str">
        <x:v>R1 - PoC bout en bout</x:v>
      </x:c>
      <x:c r="K19" s="42" t="str">
        <x:v>À produire</x:v>
      </x:c>
    </x:row>
    <x:row r="20">
      <x:c r="A20" s="42" t="str">
        <x:v>ENR-004</x:v>
      </x:c>
      <x:c r="B20" s="42" t="str">
        <x:v>US-ENR-004</x:v>
      </x:c>
      <x:c r="C20" s="42" t="str">
        <x:v>Enrôlement et adhésion</x:v>
      </x:c>
      <x:c r="D20" s="42" t="str">
        <x:v>Spécifications fonctionnelles CNPM v1.1</x:v>
      </x:c>
      <x:c r="E20" s="42" t="str">
        <x:v>/api/v1/enrollments</x:v>
      </x:c>
      <x:c r="F20" s="42" t="str">
        <x:v>enrollment.enrollment_case; enrollment.enrollment_decision</x:v>
      </x:c>
      <x:c r="G20" s="42" t="str">
        <x:v>ENROLLMENT.APPROVE</x:v>
      </x:c>
      <x:c r="H20" s="42" t="str">
        <x:v>TC-ENR-004-NOM</x:v>
      </x:c>
      <x:c r="I20" s="42" t="str">
        <x:v>TC-ENR-004-CTRL</x:v>
      </x:c>
      <x:c r="J20" s="42" t="str">
        <x:v>R1 - PoC bout en bout</x:v>
      </x:c>
      <x:c r="K20" s="42" t="str">
        <x:v>À produire</x:v>
      </x:c>
    </x:row>
    <x:row r="21">
      <x:c r="A21" s="42" t="str">
        <x:v>ENR-005</x:v>
      </x:c>
      <x:c r="B21" s="42" t="str">
        <x:v>US-ENR-005</x:v>
      </x:c>
      <x:c r="C21" s="42" t="str">
        <x:v>Enrôlement et adhésion</x:v>
      </x:c>
      <x:c r="D21" s="42" t="str">
        <x:v>Spécifications fonctionnelles CNPM v1.1</x:v>
      </x:c>
      <x:c r="E21" s="42" t="str">
        <x:v>/api/v1/enrollments</x:v>
      </x:c>
      <x:c r="F21" s="42" t="str">
        <x:v>enrollment.enrollment_case; enrollment.enrollment_decision</x:v>
      </x:c>
      <x:c r="G21" s="42" t="str">
        <x:v>ENROLLMENT.APPROVE</x:v>
      </x:c>
      <x:c r="H21" s="42" t="str">
        <x:v>TC-ENR-005-NOM</x:v>
      </x:c>
      <x:c r="I21" s="42" t="str">
        <x:v>TC-ENR-005-CTRL</x:v>
      </x:c>
      <x:c r="J21" s="42" t="str">
        <x:v>R1 - PoC bout en bout</x:v>
      </x:c>
      <x:c r="K21" s="42" t="str">
        <x:v>À produire</x:v>
      </x:c>
    </x:row>
    <x:row r="22">
      <x:c r="A22" s="42" t="str">
        <x:v>ENR-006</x:v>
      </x:c>
      <x:c r="B22" s="42" t="str">
        <x:v>US-ENR-006</x:v>
      </x:c>
      <x:c r="C22" s="42" t="str">
        <x:v>Enrôlement et adhésion</x:v>
      </x:c>
      <x:c r="D22" s="42" t="str">
        <x:v>Spécifications fonctionnelles CNPM v1.1</x:v>
      </x:c>
      <x:c r="E22" s="42" t="str">
        <x:v>/api/v1/enrollments</x:v>
      </x:c>
      <x:c r="F22" s="42" t="str">
        <x:v>enrollment.enrollment_case; enrollment.enrollment_decision</x:v>
      </x:c>
      <x:c r="G22" s="42" t="str">
        <x:v>ENROLLMENT.APPROVE</x:v>
      </x:c>
      <x:c r="H22" s="42" t="str">
        <x:v>TC-ENR-006-NOM</x:v>
      </x:c>
      <x:c r="I22" s="42" t="str">
        <x:v>TC-ENR-006-CTRL</x:v>
      </x:c>
      <x:c r="J22" s="42" t="str">
        <x:v>R1 - PoC bout en bout</x:v>
      </x:c>
      <x:c r="K22" s="42" t="str">
        <x:v>À produire</x:v>
      </x:c>
    </x:row>
    <x:row r="23">
      <x:c r="A23" s="42" t="str">
        <x:v>ENR-007</x:v>
      </x:c>
      <x:c r="B23" s="42" t="str">
        <x:v>US-ENR-007</x:v>
      </x:c>
      <x:c r="C23" s="42" t="str">
        <x:v>Enrôlement et adhésion</x:v>
      </x:c>
      <x:c r="D23" s="42" t="str">
        <x:v>Spécifications fonctionnelles CNPM v1.1</x:v>
      </x:c>
      <x:c r="E23" s="42" t="str">
        <x:v>/api/v1/enrollments</x:v>
      </x:c>
      <x:c r="F23" s="42" t="str">
        <x:v>enrollment.enrollment_case; enrollment.enrollment_decision</x:v>
      </x:c>
      <x:c r="G23" s="42" t="str">
        <x:v>ENROLLMENT.APPROVE</x:v>
      </x:c>
      <x:c r="H23" s="42" t="str">
        <x:v>TC-ENR-007-NOM</x:v>
      </x:c>
      <x:c r="I23" s="42" t="str">
        <x:v>TC-ENR-007-CTRL</x:v>
      </x:c>
      <x:c r="J23" s="42" t="str">
        <x:v>R1 - PoC bout en bout</x:v>
      </x:c>
      <x:c r="K23" s="42" t="str">
        <x:v>À produire</x:v>
      </x:c>
    </x:row>
    <x:row r="24">
      <x:c r="A24" s="42" t="str">
        <x:v>ENR-008</x:v>
      </x:c>
      <x:c r="B24" s="42" t="str">
        <x:v>US-ENR-008</x:v>
      </x:c>
      <x:c r="C24" s="42" t="str">
        <x:v>Enrôlement et adhésion</x:v>
      </x:c>
      <x:c r="D24" s="42" t="str">
        <x:v>Spécifications fonctionnelles CNPM v1.1</x:v>
      </x:c>
      <x:c r="E24" s="42" t="str">
        <x:v>/api/v1/enrollments</x:v>
      </x:c>
      <x:c r="F24" s="42" t="str">
        <x:v>enrollment.enrollment_case; enrollment.enrollment_decision</x:v>
      </x:c>
      <x:c r="G24" s="42" t="str">
        <x:v>ENROLLMENT.APPROVE</x:v>
      </x:c>
      <x:c r="H24" s="42" t="str">
        <x:v>TC-ENR-008-NOM</x:v>
      </x:c>
      <x:c r="I24" s="42" t="str">
        <x:v>TC-ENR-008-CTRL</x:v>
      </x:c>
      <x:c r="J24" s="42" t="str">
        <x:v>R1 - PoC bout en bout</x:v>
      </x:c>
      <x:c r="K24" s="42" t="str">
        <x:v>À produire</x:v>
      </x:c>
    </x:row>
    <x:row r="25">
      <x:c r="A25" s="42" t="str">
        <x:v>COT-001</x:v>
      </x:c>
      <x:c r="B25" s="42" t="str">
        <x:v>US-COT-001</x:v>
      </x:c>
      <x:c r="C25" s="42" t="str">
        <x:v>Cotisations et échéanciers</x:v>
      </x:c>
      <x:c r="D25" s="42" t="str">
        <x:v>Spécifications fonctionnelles CNPM v1.1</x:v>
      </x:c>
      <x:c r="E25" s="42" t="str">
        <x:v>/api/v1/contribution-calls</x:v>
      </x:c>
      <x:c r="F25" s="42" t="str">
        <x:v>contribution.rate_rule; contribution.contribution_call</x:v>
      </x:c>
      <x:c r="G25" s="42" t="str">
        <x:v>CONTRIBUTION.READ</x:v>
      </x:c>
      <x:c r="H25" s="42" t="str">
        <x:v>TC-COT-001-NOM</x:v>
      </x:c>
      <x:c r="I25" s="42" t="str">
        <x:v>TC-COT-001-CTRL</x:v>
      </x:c>
      <x:c r="J25" s="42" t="str">
        <x:v>R1 - PoC bout en bout</x:v>
      </x:c>
      <x:c r="K25" s="42" t="str">
        <x:v>À produire</x:v>
      </x:c>
    </x:row>
    <x:row r="26">
      <x:c r="A26" s="42" t="str">
        <x:v>COT-002</x:v>
      </x:c>
      <x:c r="B26" s="42" t="str">
        <x:v>US-COT-002</x:v>
      </x:c>
      <x:c r="C26" s="42" t="str">
        <x:v>Cotisations et échéanciers</x:v>
      </x:c>
      <x:c r="D26" s="42" t="str">
        <x:v>Spécifications fonctionnelles CNPM v1.1</x:v>
      </x:c>
      <x:c r="E26" s="42" t="str">
        <x:v>/api/v1/contribution-calls</x:v>
      </x:c>
      <x:c r="F26" s="42" t="str">
        <x:v>contribution.rate_rule; contribution.contribution_call</x:v>
      </x:c>
      <x:c r="G26" s="42" t="str">
        <x:v>CONTRIBUTION.READ</x:v>
      </x:c>
      <x:c r="H26" s="42" t="str">
        <x:v>TC-COT-002-NOM</x:v>
      </x:c>
      <x:c r="I26" s="42" t="str">
        <x:v>TC-COT-002-CTRL</x:v>
      </x:c>
      <x:c r="J26" s="42" t="str">
        <x:v>R1 - PoC bout en bout</x:v>
      </x:c>
      <x:c r="K26" s="42" t="str">
        <x:v>À produire</x:v>
      </x:c>
    </x:row>
    <x:row r="27">
      <x:c r="A27" s="42" t="str">
        <x:v>COT-003</x:v>
      </x:c>
      <x:c r="B27" s="42" t="str">
        <x:v>US-COT-003</x:v>
      </x:c>
      <x:c r="C27" s="42" t="str">
        <x:v>Cotisations et échéanciers</x:v>
      </x:c>
      <x:c r="D27" s="42" t="str">
        <x:v>Spécifications fonctionnelles CNPM v1.1</x:v>
      </x:c>
      <x:c r="E27" s="42" t="str">
        <x:v>/api/v1/contribution-calls</x:v>
      </x:c>
      <x:c r="F27" s="42" t="str">
        <x:v>contribution.rate_rule; contribution.contribution_call</x:v>
      </x:c>
      <x:c r="G27" s="42" t="str">
        <x:v>CONTRIBUTION.READ</x:v>
      </x:c>
      <x:c r="H27" s="42" t="str">
        <x:v>TC-COT-003-NOM</x:v>
      </x:c>
      <x:c r="I27" s="42" t="str">
        <x:v>TC-COT-003-CTRL</x:v>
      </x:c>
      <x:c r="J27" s="42" t="str">
        <x:v>R1 - PoC bout en bout</x:v>
      </x:c>
      <x:c r="K27" s="42" t="str">
        <x:v>À produire</x:v>
      </x:c>
    </x:row>
    <x:row r="28">
      <x:c r="A28" s="42" t="str">
        <x:v>COT-004</x:v>
      </x:c>
      <x:c r="B28" s="42" t="str">
        <x:v>US-COT-004</x:v>
      </x:c>
      <x:c r="C28" s="42" t="str">
        <x:v>Cotisations et échéanciers</x:v>
      </x:c>
      <x:c r="D28" s="42" t="str">
        <x:v>Spécifications fonctionnelles CNPM v1.1</x:v>
      </x:c>
      <x:c r="E28" s="42" t="str">
        <x:v>/api/v1/contribution-calls</x:v>
      </x:c>
      <x:c r="F28" s="42" t="str">
        <x:v>contribution.rate_rule; contribution.contribution_call</x:v>
      </x:c>
      <x:c r="G28" s="42" t="str">
        <x:v>CONTRIBUTION.READ</x:v>
      </x:c>
      <x:c r="H28" s="42" t="str">
        <x:v>TC-COT-004-NOM</x:v>
      </x:c>
      <x:c r="I28" s="42" t="str">
        <x:v>TC-COT-004-CTRL</x:v>
      </x:c>
      <x:c r="J28" s="42" t="str">
        <x:v>R1 - PoC bout en bout</x:v>
      </x:c>
      <x:c r="K28" s="42" t="str">
        <x:v>À produire</x:v>
      </x:c>
    </x:row>
    <x:row r="29">
      <x:c r="A29" s="42" t="str">
        <x:v>COT-005</x:v>
      </x:c>
      <x:c r="B29" s="42" t="str">
        <x:v>US-COT-005</x:v>
      </x:c>
      <x:c r="C29" s="42" t="str">
        <x:v>Cotisations et échéanciers</x:v>
      </x:c>
      <x:c r="D29" s="42" t="str">
        <x:v>Spécifications fonctionnelles CNPM v1.1</x:v>
      </x:c>
      <x:c r="E29" s="42" t="str">
        <x:v>/api/v1/contribution-calls</x:v>
      </x:c>
      <x:c r="F29" s="42" t="str">
        <x:v>contribution.rate_rule; contribution.contribution_call</x:v>
      </x:c>
      <x:c r="G29" s="42" t="str">
        <x:v>CONTRIBUTION.READ</x:v>
      </x:c>
      <x:c r="H29" s="42" t="str">
        <x:v>TC-COT-005-NOM</x:v>
      </x:c>
      <x:c r="I29" s="42" t="str">
        <x:v>TC-COT-005-CTRL</x:v>
      </x:c>
      <x:c r="J29" s="42" t="str">
        <x:v>R1 - PoC bout en bout</x:v>
      </x:c>
      <x:c r="K29" s="42" t="str">
        <x:v>À produire</x:v>
      </x:c>
    </x:row>
    <x:row r="30">
      <x:c r="A30" s="42" t="str">
        <x:v>COT-006</x:v>
      </x:c>
      <x:c r="B30" s="42" t="str">
        <x:v>US-COT-006</x:v>
      </x:c>
      <x:c r="C30" s="42" t="str">
        <x:v>Cotisations et échéanciers</x:v>
      </x:c>
      <x:c r="D30" s="42" t="str">
        <x:v>Spécifications fonctionnelles CNPM v1.1</x:v>
      </x:c>
      <x:c r="E30" s="42" t="str">
        <x:v>/api/v1/contribution-calls</x:v>
      </x:c>
      <x:c r="F30" s="42" t="str">
        <x:v>contribution.rate_rule; contribution.contribution_call</x:v>
      </x:c>
      <x:c r="G30" s="42" t="str">
        <x:v>CONTRIBUTION.READ</x:v>
      </x:c>
      <x:c r="H30" s="42" t="str">
        <x:v>TC-COT-006-NOM</x:v>
      </x:c>
      <x:c r="I30" s="42" t="str">
        <x:v>TC-COT-006-CTRL</x:v>
      </x:c>
      <x:c r="J30" s="42" t="str">
        <x:v>R1 - PoC bout en bout</x:v>
      </x:c>
      <x:c r="K30" s="42" t="str">
        <x:v>À produire</x:v>
      </x:c>
    </x:row>
    <x:row r="31">
      <x:c r="A31" s="42" t="str">
        <x:v>COT-007</x:v>
      </x:c>
      <x:c r="B31" s="42" t="str">
        <x:v>US-COT-007</x:v>
      </x:c>
      <x:c r="C31" s="42" t="str">
        <x:v>Cotisations et échéanciers</x:v>
      </x:c>
      <x:c r="D31" s="42" t="str">
        <x:v>Spécifications fonctionnelles CNPM v1.1</x:v>
      </x:c>
      <x:c r="E31" s="42" t="str">
        <x:v>/api/v1/contribution-calls</x:v>
      </x:c>
      <x:c r="F31" s="42" t="str">
        <x:v>contribution.rate_rule; contribution.contribution_call</x:v>
      </x:c>
      <x:c r="G31" s="42" t="str">
        <x:v>CONTRIBUTION.READ</x:v>
      </x:c>
      <x:c r="H31" s="42" t="str">
        <x:v>TC-COT-007-NOM</x:v>
      </x:c>
      <x:c r="I31" s="42" t="str">
        <x:v>TC-COT-007-CTRL</x:v>
      </x:c>
      <x:c r="J31" s="42" t="str">
        <x:v>R1 - PoC bout en bout</x:v>
      </x:c>
      <x:c r="K31" s="42" t="str">
        <x:v>À produire</x:v>
      </x:c>
    </x:row>
    <x:row r="32">
      <x:c r="A32" s="42" t="str">
        <x:v>COT-008</x:v>
      </x:c>
      <x:c r="B32" s="42" t="str">
        <x:v>US-COT-008</x:v>
      </x:c>
      <x:c r="C32" s="42" t="str">
        <x:v>Cotisations et échéanciers</x:v>
      </x:c>
      <x:c r="D32" s="42" t="str">
        <x:v>Spécifications fonctionnelles CNPM v1.1</x:v>
      </x:c>
      <x:c r="E32" s="42" t="str">
        <x:v>/api/v1/contribution-calls</x:v>
      </x:c>
      <x:c r="F32" s="42" t="str">
        <x:v>contribution.rate_rule; contribution.contribution_call</x:v>
      </x:c>
      <x:c r="G32" s="42" t="str">
        <x:v>CONTRIBUTION.READ</x:v>
      </x:c>
      <x:c r="H32" s="42" t="str">
        <x:v>TC-COT-008-NOM</x:v>
      </x:c>
      <x:c r="I32" s="42" t="str">
        <x:v>TC-COT-008-CTRL</x:v>
      </x:c>
      <x:c r="J32" s="42" t="str">
        <x:v>R1 - PoC bout en bout</x:v>
      </x:c>
      <x:c r="K32" s="42" t="str">
        <x:v>À produire</x:v>
      </x:c>
    </x:row>
    <x:row r="33">
      <x:c r="A33" s="42" t="str">
        <x:v>PAY-001</x:v>
      </x:c>
      <x:c r="B33" s="42" t="str">
        <x:v>US-PAY-001</x:v>
      </x:c>
      <x:c r="C33" s="42" t="str">
        <x:v>Paiements et rapprochement</x:v>
      </x:c>
      <x:c r="D33" s="42" t="str">
        <x:v>Spécifications fonctionnelles CNPM v1.1</x:v>
      </x:c>
      <x:c r="E33" s="42" t="str">
        <x:v>/api/v1/payments</x:v>
      </x:c>
      <x:c r="F33" s="42" t="str">
        <x:v>payment.payment_transaction; payment.reconciliation_case</x:v>
      </x:c>
      <x:c r="G33" s="42" t="str">
        <x:v>PAYMENT.READ</x:v>
      </x:c>
      <x:c r="H33" s="42" t="str">
        <x:v>TC-PAY-001-NOM</x:v>
      </x:c>
      <x:c r="I33" s="42" t="str">
        <x:v>TC-PAY-001-CTRL</x:v>
      </x:c>
      <x:c r="J33" s="42" t="str">
        <x:v>R1 - PoC bout en bout</x:v>
      </x:c>
      <x:c r="K33" s="42" t="str">
        <x:v>À produire</x:v>
      </x:c>
    </x:row>
    <x:row r="34">
      <x:c r="A34" s="42" t="str">
        <x:v>PAY-002</x:v>
      </x:c>
      <x:c r="B34" s="42" t="str">
        <x:v>US-PAY-002</x:v>
      </x:c>
      <x:c r="C34" s="42" t="str">
        <x:v>Paiements et rapprochement</x:v>
      </x:c>
      <x:c r="D34" s="42" t="str">
        <x:v>Spécifications fonctionnelles CNPM v1.1</x:v>
      </x:c>
      <x:c r="E34" s="42" t="str">
        <x:v>/api/v1/payments</x:v>
      </x:c>
      <x:c r="F34" s="42" t="str">
        <x:v>payment.payment_transaction; payment.reconciliation_case</x:v>
      </x:c>
      <x:c r="G34" s="42" t="str">
        <x:v>PAYMENT.READ</x:v>
      </x:c>
      <x:c r="H34" s="42" t="str">
        <x:v>TC-PAY-002-NOM</x:v>
      </x:c>
      <x:c r="I34" s="42" t="str">
        <x:v>TC-PAY-002-CTRL</x:v>
      </x:c>
      <x:c r="J34" s="42" t="str">
        <x:v>R1 - PoC bout en bout</x:v>
      </x:c>
      <x:c r="K34" s="42" t="str">
        <x:v>À produire</x:v>
      </x:c>
    </x:row>
    <x:row r="35">
      <x:c r="A35" s="42" t="str">
        <x:v>PAY-003</x:v>
      </x:c>
      <x:c r="B35" s="42" t="str">
        <x:v>US-PAY-003</x:v>
      </x:c>
      <x:c r="C35" s="42" t="str">
        <x:v>Paiements et rapprochement</x:v>
      </x:c>
      <x:c r="D35" s="42" t="str">
        <x:v>Spécifications fonctionnelles CNPM v1.1</x:v>
      </x:c>
      <x:c r="E35" s="42" t="str">
        <x:v>/api/v1/payments</x:v>
      </x:c>
      <x:c r="F35" s="42" t="str">
        <x:v>payment.payment_transaction; payment.reconciliation_case</x:v>
      </x:c>
      <x:c r="G35" s="42" t="str">
        <x:v>PAYMENT.READ</x:v>
      </x:c>
      <x:c r="H35" s="42" t="str">
        <x:v>TC-PAY-003-NOM</x:v>
      </x:c>
      <x:c r="I35" s="42" t="str">
        <x:v>TC-PAY-003-CTRL</x:v>
      </x:c>
      <x:c r="J35" s="42" t="str">
        <x:v>R1 - PoC bout en bout</x:v>
      </x:c>
      <x:c r="K35" s="42" t="str">
        <x:v>À produire</x:v>
      </x:c>
    </x:row>
    <x:row r="36">
      <x:c r="A36" s="42" t="str">
        <x:v>PAY-004</x:v>
      </x:c>
      <x:c r="B36" s="42" t="str">
        <x:v>US-PAY-004</x:v>
      </x:c>
      <x:c r="C36" s="42" t="str">
        <x:v>Paiements et rapprochement</x:v>
      </x:c>
      <x:c r="D36" s="42" t="str">
        <x:v>Spécifications fonctionnelles CNPM v1.1</x:v>
      </x:c>
      <x:c r="E36" s="42" t="str">
        <x:v>/api/v1/payments</x:v>
      </x:c>
      <x:c r="F36" s="42" t="str">
        <x:v>payment.payment_transaction; payment.reconciliation_case</x:v>
      </x:c>
      <x:c r="G36" s="42" t="str">
        <x:v>PAYMENT.READ</x:v>
      </x:c>
      <x:c r="H36" s="42" t="str">
        <x:v>TC-PAY-004-NOM</x:v>
      </x:c>
      <x:c r="I36" s="42" t="str">
        <x:v>TC-PAY-004-CTRL</x:v>
      </x:c>
      <x:c r="J36" s="42" t="str">
        <x:v>R1 - PoC bout en bout</x:v>
      </x:c>
      <x:c r="K36" s="42" t="str">
        <x:v>À produire</x:v>
      </x:c>
    </x:row>
    <x:row r="37">
      <x:c r="A37" s="42" t="str">
        <x:v>PAY-005</x:v>
      </x:c>
      <x:c r="B37" s="42" t="str">
        <x:v>US-PAY-005</x:v>
      </x:c>
      <x:c r="C37" s="42" t="str">
        <x:v>Paiements et rapprochement</x:v>
      </x:c>
      <x:c r="D37" s="42" t="str">
        <x:v>Spécifications fonctionnelles CNPM v1.1</x:v>
      </x:c>
      <x:c r="E37" s="42" t="str">
        <x:v>/api/v1/payments</x:v>
      </x:c>
      <x:c r="F37" s="42" t="str">
        <x:v>payment.payment_transaction; payment.reconciliation_case</x:v>
      </x:c>
      <x:c r="G37" s="42" t="str">
        <x:v>PAYMENT.READ</x:v>
      </x:c>
      <x:c r="H37" s="42" t="str">
        <x:v>TC-PAY-005-NOM</x:v>
      </x:c>
      <x:c r="I37" s="42" t="str">
        <x:v>TC-PAY-005-CTRL</x:v>
      </x:c>
      <x:c r="J37" s="42" t="str">
        <x:v>R1 - PoC bout en bout</x:v>
      </x:c>
      <x:c r="K37" s="42" t="str">
        <x:v>À produire</x:v>
      </x:c>
    </x:row>
    <x:row r="38">
      <x:c r="A38" s="42" t="str">
        <x:v>PAY-006</x:v>
      </x:c>
      <x:c r="B38" s="42" t="str">
        <x:v>US-PAY-006</x:v>
      </x:c>
      <x:c r="C38" s="42" t="str">
        <x:v>Paiements et rapprochement</x:v>
      </x:c>
      <x:c r="D38" s="42" t="str">
        <x:v>Spécifications fonctionnelles CNPM v1.1</x:v>
      </x:c>
      <x:c r="E38" s="42" t="str">
        <x:v>/api/v1/payments</x:v>
      </x:c>
      <x:c r="F38" s="42" t="str">
        <x:v>payment.payment_transaction; payment.reconciliation_case</x:v>
      </x:c>
      <x:c r="G38" s="42" t="str">
        <x:v>PAYMENT.READ</x:v>
      </x:c>
      <x:c r="H38" s="42" t="str">
        <x:v>TC-PAY-006-NOM</x:v>
      </x:c>
      <x:c r="I38" s="42" t="str">
        <x:v>TC-PAY-006-CTRL</x:v>
      </x:c>
      <x:c r="J38" s="42" t="str">
        <x:v>R1 - PoC bout en bout</x:v>
      </x:c>
      <x:c r="K38" s="42" t="str">
        <x:v>À produire</x:v>
      </x:c>
    </x:row>
    <x:row r="39">
      <x:c r="A39" s="42" t="str">
        <x:v>PAY-007</x:v>
      </x:c>
      <x:c r="B39" s="42" t="str">
        <x:v>US-PAY-007</x:v>
      </x:c>
      <x:c r="C39" s="42" t="str">
        <x:v>Paiements et rapprochement</x:v>
      </x:c>
      <x:c r="D39" s="42" t="str">
        <x:v>Spécifications fonctionnelles CNPM v1.1</x:v>
      </x:c>
      <x:c r="E39" s="42" t="str">
        <x:v>/api/v1/payments</x:v>
      </x:c>
      <x:c r="F39" s="42" t="str">
        <x:v>payment.payment_transaction; payment.reconciliation_case</x:v>
      </x:c>
      <x:c r="G39" s="42" t="str">
        <x:v>PAYMENT.READ</x:v>
      </x:c>
      <x:c r="H39" s="42" t="str">
        <x:v>TC-PAY-007-NOM</x:v>
      </x:c>
      <x:c r="I39" s="42" t="str">
        <x:v>TC-PAY-007-CTRL</x:v>
      </x:c>
      <x:c r="J39" s="42" t="str">
        <x:v>R1 - PoC bout en bout</x:v>
      </x:c>
      <x:c r="K39" s="42" t="str">
        <x:v>À produire</x:v>
      </x:c>
    </x:row>
    <x:row r="40">
      <x:c r="A40" s="42" t="str">
        <x:v>PAY-008</x:v>
      </x:c>
      <x:c r="B40" s="42" t="str">
        <x:v>US-PAY-008</x:v>
      </x:c>
      <x:c r="C40" s="42" t="str">
        <x:v>Paiements et rapprochement</x:v>
      </x:c>
      <x:c r="D40" s="42" t="str">
        <x:v>Spécifications fonctionnelles CNPM v1.1</x:v>
      </x:c>
      <x:c r="E40" s="42" t="str">
        <x:v>/api/v1/payments</x:v>
      </x:c>
      <x:c r="F40" s="42" t="str">
        <x:v>payment.payment_transaction; payment.reconciliation_case</x:v>
      </x:c>
      <x:c r="G40" s="42" t="str">
        <x:v>PAYMENT.READ</x:v>
      </x:c>
      <x:c r="H40" s="42" t="str">
        <x:v>TC-PAY-008-NOM</x:v>
      </x:c>
      <x:c r="I40" s="42" t="str">
        <x:v>TC-PAY-008-CTRL</x:v>
      </x:c>
      <x:c r="J40" s="42" t="str">
        <x:v>R1 - PoC bout en bout</x:v>
      </x:c>
      <x:c r="K40" s="42" t="str">
        <x:v>À produire</x:v>
      </x:c>
    </x:row>
    <x:row r="41">
      <x:c r="A41" s="42" t="str">
        <x:v>REC-001</x:v>
      </x:c>
      <x:c r="B41" s="42" t="str">
        <x:v>US-REC-001</x:v>
      </x:c>
      <x:c r="C41" s="42" t="str">
        <x:v>Reçus et attestations</x:v>
      </x:c>
      <x:c r="D41" s="42" t="str">
        <x:v>Spécifications fonctionnelles CNPM v1.1</x:v>
      </x:c>
      <x:c r="E41" s="42" t="str">
        <x:v>/api/v1/receipts</x:v>
      </x:c>
      <x:c r="F41" s="42" t="str">
        <x:v>receipt.receipt</x:v>
      </x:c>
      <x:c r="G41" s="42" t="str">
        <x:v>RECEIPT.READ</x:v>
      </x:c>
      <x:c r="H41" s="42" t="str">
        <x:v>TC-REC-001-NOM</x:v>
      </x:c>
      <x:c r="I41" s="42" t="str">
        <x:v>TC-REC-001-CTRL</x:v>
      </x:c>
      <x:c r="J41" s="42" t="str">
        <x:v>R1 - PoC bout en bout</x:v>
      </x:c>
      <x:c r="K41" s="42" t="str">
        <x:v>À produire</x:v>
      </x:c>
    </x:row>
    <x:row r="42">
      <x:c r="A42" s="42" t="str">
        <x:v>REC-002</x:v>
      </x:c>
      <x:c r="B42" s="42" t="str">
        <x:v>US-REC-002</x:v>
      </x:c>
      <x:c r="C42" s="42" t="str">
        <x:v>Reçus et attestations</x:v>
      </x:c>
      <x:c r="D42" s="42" t="str">
        <x:v>Spécifications fonctionnelles CNPM v1.1</x:v>
      </x:c>
      <x:c r="E42" s="42" t="str">
        <x:v>/api/v1/receipts</x:v>
      </x:c>
      <x:c r="F42" s="42" t="str">
        <x:v>receipt.receipt</x:v>
      </x:c>
      <x:c r="G42" s="42" t="str">
        <x:v>RECEIPT.READ</x:v>
      </x:c>
      <x:c r="H42" s="42" t="str">
        <x:v>TC-REC-002-NOM</x:v>
      </x:c>
      <x:c r="I42" s="42" t="str">
        <x:v>TC-REC-002-CTRL</x:v>
      </x:c>
      <x:c r="J42" s="42" t="str">
        <x:v>R1 - PoC bout en bout</x:v>
      </x:c>
      <x:c r="K42" s="42" t="str">
        <x:v>À produire</x:v>
      </x:c>
    </x:row>
    <x:row r="43">
      <x:c r="A43" s="42" t="str">
        <x:v>REC-003</x:v>
      </x:c>
      <x:c r="B43" s="42" t="str">
        <x:v>US-REC-003</x:v>
      </x:c>
      <x:c r="C43" s="42" t="str">
        <x:v>Reçus et attestations</x:v>
      </x:c>
      <x:c r="D43" s="42" t="str">
        <x:v>Spécifications fonctionnelles CNPM v1.1</x:v>
      </x:c>
      <x:c r="E43" s="42" t="str">
        <x:v>/api/v1/receipts</x:v>
      </x:c>
      <x:c r="F43" s="42" t="str">
        <x:v>receipt.receipt</x:v>
      </x:c>
      <x:c r="G43" s="42" t="str">
        <x:v>RECEIPT.READ</x:v>
      </x:c>
      <x:c r="H43" s="42" t="str">
        <x:v>TC-REC-003-NOM</x:v>
      </x:c>
      <x:c r="I43" s="42" t="str">
        <x:v>TC-REC-003-CTRL</x:v>
      </x:c>
      <x:c r="J43" s="42" t="str">
        <x:v>R1 - PoC bout en bout</x:v>
      </x:c>
      <x:c r="K43" s="42" t="str">
        <x:v>À produire</x:v>
      </x:c>
    </x:row>
    <x:row r="44">
      <x:c r="A44" s="42" t="str">
        <x:v>REC-004</x:v>
      </x:c>
      <x:c r="B44" s="42" t="str">
        <x:v>US-REC-004</x:v>
      </x:c>
      <x:c r="C44" s="42" t="str">
        <x:v>Reçus et attestations</x:v>
      </x:c>
      <x:c r="D44" s="42" t="str">
        <x:v>Spécifications fonctionnelles CNPM v1.1</x:v>
      </x:c>
      <x:c r="E44" s="42" t="str">
        <x:v>/api/v1/receipts</x:v>
      </x:c>
      <x:c r="F44" s="42" t="str">
        <x:v>receipt.receipt</x:v>
      </x:c>
      <x:c r="G44" s="42" t="str">
        <x:v>RECEIPT.READ</x:v>
      </x:c>
      <x:c r="H44" s="42" t="str">
        <x:v>TC-REC-004-NOM</x:v>
      </x:c>
      <x:c r="I44" s="42" t="str">
        <x:v>TC-REC-004-CTRL</x:v>
      </x:c>
      <x:c r="J44" s="42" t="str">
        <x:v>R1 - PoC bout en bout</x:v>
      </x:c>
      <x:c r="K44" s="42" t="str">
        <x:v>À produire</x:v>
      </x:c>
    </x:row>
    <x:row r="45">
      <x:c r="A45" s="42" t="str">
        <x:v>REC-005</x:v>
      </x:c>
      <x:c r="B45" s="42" t="str">
        <x:v>US-REC-005</x:v>
      </x:c>
      <x:c r="C45" s="42" t="str">
        <x:v>Reçus et attestations</x:v>
      </x:c>
      <x:c r="D45" s="42" t="str">
        <x:v>Spécifications fonctionnelles CNPM v1.1</x:v>
      </x:c>
      <x:c r="E45" s="42" t="str">
        <x:v>/api/v1/receipts</x:v>
      </x:c>
      <x:c r="F45" s="42" t="str">
        <x:v>receipt.receipt</x:v>
      </x:c>
      <x:c r="G45" s="42" t="str">
        <x:v>RECEIPT.READ</x:v>
      </x:c>
      <x:c r="H45" s="42" t="str">
        <x:v>TC-REC-005-NOM</x:v>
      </x:c>
      <x:c r="I45" s="42" t="str">
        <x:v>TC-REC-005-CTRL</x:v>
      </x:c>
      <x:c r="J45" s="42" t="str">
        <x:v>R1 - PoC bout en bout</x:v>
      </x:c>
      <x:c r="K45" s="42" t="str">
        <x:v>À produire</x:v>
      </x:c>
    </x:row>
    <x:row r="46">
      <x:c r="A46" s="42" t="str">
        <x:v>REC-006</x:v>
      </x:c>
      <x:c r="B46" s="42" t="str">
        <x:v>US-REC-006</x:v>
      </x:c>
      <x:c r="C46" s="42" t="str">
        <x:v>Reçus et attestations</x:v>
      </x:c>
      <x:c r="D46" s="42" t="str">
        <x:v>Spécifications fonctionnelles CNPM v1.1</x:v>
      </x:c>
      <x:c r="E46" s="42" t="str">
        <x:v>/api/v1/receipts</x:v>
      </x:c>
      <x:c r="F46" s="42" t="str">
        <x:v>receipt.receipt</x:v>
      </x:c>
      <x:c r="G46" s="42" t="str">
        <x:v>RECEIPT.READ</x:v>
      </x:c>
      <x:c r="H46" s="42" t="str">
        <x:v>TC-REC-006-NOM</x:v>
      </x:c>
      <x:c r="I46" s="42" t="str">
        <x:v>TC-REC-006-CTRL</x:v>
      </x:c>
      <x:c r="J46" s="42" t="str">
        <x:v>R1 - PoC bout en bout</x:v>
      </x:c>
      <x:c r="K46" s="42" t="str">
        <x:v>À produire</x:v>
      </x:c>
    </x:row>
    <x:row r="47">
      <x:c r="A47" s="42" t="str">
        <x:v>REL-001</x:v>
      </x:c>
      <x:c r="B47" s="42" t="str">
        <x:v>US-REL-001</x:v>
      </x:c>
      <x:c r="C47" s="42" t="str">
        <x:v>Recouvrement et relances</x:v>
      </x:c>
      <x:c r="D47" s="42" t="str">
        <x:v>Spécifications fonctionnelles CNPM v1.1</x:v>
      </x:c>
      <x:c r="E47" s="42" t="str">
        <x:v>/api/v1/recovery-cases</x:v>
      </x:c>
      <x:c r="F47" s="42" t="str">
        <x:v>recovery.recovery_case; recovery.recovery_action</x:v>
      </x:c>
      <x:c r="G47" s="42" t="str">
        <x:v>RECOVERY.ACTION.WRITE</x:v>
      </x:c>
      <x:c r="H47" s="42" t="str">
        <x:v>TC-REL-001-NOM</x:v>
      </x:c>
      <x:c r="I47" s="42" t="str">
        <x:v>TC-REL-001-CTRL</x:v>
      </x:c>
      <x:c r="J47" s="42" t="str">
        <x:v>R1 - PoC bout en bout</x:v>
      </x:c>
      <x:c r="K47" s="42" t="str">
        <x:v>À produire</x:v>
      </x:c>
    </x:row>
    <x:row r="48">
      <x:c r="A48" s="42" t="str">
        <x:v>REL-002</x:v>
      </x:c>
      <x:c r="B48" s="42" t="str">
        <x:v>US-REL-002</x:v>
      </x:c>
      <x:c r="C48" s="42" t="str">
        <x:v>Recouvrement et relances</x:v>
      </x:c>
      <x:c r="D48" s="42" t="str">
        <x:v>Spécifications fonctionnelles CNPM v1.1</x:v>
      </x:c>
      <x:c r="E48" s="42" t="str">
        <x:v>/api/v1/recovery-cases</x:v>
      </x:c>
      <x:c r="F48" s="42" t="str">
        <x:v>recovery.recovery_case; recovery.recovery_action</x:v>
      </x:c>
      <x:c r="G48" s="42" t="str">
        <x:v>RECOVERY.ACTION.WRITE</x:v>
      </x:c>
      <x:c r="H48" s="42" t="str">
        <x:v>TC-REL-002-NOM</x:v>
      </x:c>
      <x:c r="I48" s="42" t="str">
        <x:v>TC-REL-002-CTRL</x:v>
      </x:c>
      <x:c r="J48" s="42" t="str">
        <x:v>R1 - PoC bout en bout</x:v>
      </x:c>
      <x:c r="K48" s="42" t="str">
        <x:v>À produire</x:v>
      </x:c>
    </x:row>
    <x:row r="49">
      <x:c r="A49" s="42" t="str">
        <x:v>REL-003</x:v>
      </x:c>
      <x:c r="B49" s="42" t="str">
        <x:v>US-REL-003</x:v>
      </x:c>
      <x:c r="C49" s="42" t="str">
        <x:v>Recouvrement et relances</x:v>
      </x:c>
      <x:c r="D49" s="42" t="str">
        <x:v>Spécifications fonctionnelles CNPM v1.1</x:v>
      </x:c>
      <x:c r="E49" s="42" t="str">
        <x:v>/api/v1/recovery-cases</x:v>
      </x:c>
      <x:c r="F49" s="42" t="str">
        <x:v>recovery.recovery_case; recovery.recovery_action</x:v>
      </x:c>
      <x:c r="G49" s="42" t="str">
        <x:v>RECOVERY.ACTION.WRITE</x:v>
      </x:c>
      <x:c r="H49" s="42" t="str">
        <x:v>TC-REL-003-NOM</x:v>
      </x:c>
      <x:c r="I49" s="42" t="str">
        <x:v>TC-REL-003-CTRL</x:v>
      </x:c>
      <x:c r="J49" s="42" t="str">
        <x:v>R1 - PoC bout en bout</x:v>
      </x:c>
      <x:c r="K49" s="42" t="str">
        <x:v>À produire</x:v>
      </x:c>
    </x:row>
    <x:row r="50">
      <x:c r="A50" s="42" t="str">
        <x:v>REL-004</x:v>
      </x:c>
      <x:c r="B50" s="42" t="str">
        <x:v>US-REL-004</x:v>
      </x:c>
      <x:c r="C50" s="42" t="str">
        <x:v>Recouvrement et relances</x:v>
      </x:c>
      <x:c r="D50" s="42" t="str">
        <x:v>Spécifications fonctionnelles CNPM v1.1</x:v>
      </x:c>
      <x:c r="E50" s="42" t="str">
        <x:v>/api/v1/recovery-cases</x:v>
      </x:c>
      <x:c r="F50" s="42" t="str">
        <x:v>recovery.recovery_case; recovery.recovery_action</x:v>
      </x:c>
      <x:c r="G50" s="42" t="str">
        <x:v>RECOVERY.ACTION.WRITE</x:v>
      </x:c>
      <x:c r="H50" s="42" t="str">
        <x:v>TC-REL-004-NOM</x:v>
      </x:c>
      <x:c r="I50" s="42" t="str">
        <x:v>TC-REL-004-CTRL</x:v>
      </x:c>
      <x:c r="J50" s="42" t="str">
        <x:v>R1 - PoC bout en bout</x:v>
      </x:c>
      <x:c r="K50" s="42" t="str">
        <x:v>À produire</x:v>
      </x:c>
    </x:row>
    <x:row r="51">
      <x:c r="A51" s="42" t="str">
        <x:v>REL-005</x:v>
      </x:c>
      <x:c r="B51" s="42" t="str">
        <x:v>US-REL-005</x:v>
      </x:c>
      <x:c r="C51" s="42" t="str">
        <x:v>Recouvrement et relances</x:v>
      </x:c>
      <x:c r="D51" s="42" t="str">
        <x:v>Spécifications fonctionnelles CNPM v1.1</x:v>
      </x:c>
      <x:c r="E51" s="42" t="str">
        <x:v>/api/v1/recovery-cases</x:v>
      </x:c>
      <x:c r="F51" s="42" t="str">
        <x:v>recovery.recovery_case; recovery.recovery_action</x:v>
      </x:c>
      <x:c r="G51" s="42" t="str">
        <x:v>RECOVERY.ACTION.WRITE</x:v>
      </x:c>
      <x:c r="H51" s="42" t="str">
        <x:v>TC-REL-005-NOM</x:v>
      </x:c>
      <x:c r="I51" s="42" t="str">
        <x:v>TC-REL-005-CTRL</x:v>
      </x:c>
      <x:c r="J51" s="42" t="str">
        <x:v>R1 - PoC bout en bout</x:v>
      </x:c>
      <x:c r="K51" s="42" t="str">
        <x:v>À produire</x:v>
      </x:c>
    </x:row>
    <x:row r="52">
      <x:c r="A52" s="42" t="str">
        <x:v>REL-006</x:v>
      </x:c>
      <x:c r="B52" s="42" t="str">
        <x:v>US-REL-006</x:v>
      </x:c>
      <x:c r="C52" s="42" t="str">
        <x:v>Recouvrement et relances</x:v>
      </x:c>
      <x:c r="D52" s="42" t="str">
        <x:v>Spécifications fonctionnelles CNPM v1.1</x:v>
      </x:c>
      <x:c r="E52" s="42" t="str">
        <x:v>/api/v1/recovery-cases</x:v>
      </x:c>
      <x:c r="F52" s="42" t="str">
        <x:v>recovery.recovery_case; recovery.recovery_action</x:v>
      </x:c>
      <x:c r="G52" s="42" t="str">
        <x:v>RECOVERY.ACTION.WRITE</x:v>
      </x:c>
      <x:c r="H52" s="42" t="str">
        <x:v>TC-REL-006-NOM</x:v>
      </x:c>
      <x:c r="I52" s="42" t="str">
        <x:v>TC-REL-006-CTRL</x:v>
      </x:c>
      <x:c r="J52" s="42" t="str">
        <x:v>R1 - PoC bout en bout</x:v>
      </x:c>
      <x:c r="K52" s="42" t="str">
        <x:v>À produire</x:v>
      </x:c>
    </x:row>
    <x:row r="53">
      <x:c r="A53" s="42" t="str">
        <x:v>REL-007</x:v>
      </x:c>
      <x:c r="B53" s="42" t="str">
        <x:v>US-REL-007</x:v>
      </x:c>
      <x:c r="C53" s="42" t="str">
        <x:v>Recouvrement et relances</x:v>
      </x:c>
      <x:c r="D53" s="42" t="str">
        <x:v>Spécifications fonctionnelles CNPM v1.1</x:v>
      </x:c>
      <x:c r="E53" s="42" t="str">
        <x:v>/api/v1/recovery-cases</x:v>
      </x:c>
      <x:c r="F53" s="42" t="str">
        <x:v>recovery.recovery_case; recovery.recovery_action</x:v>
      </x:c>
      <x:c r="G53" s="42" t="str">
        <x:v>RECOVERY.ACTION.WRITE</x:v>
      </x:c>
      <x:c r="H53" s="42" t="str">
        <x:v>TC-REL-007-NOM</x:v>
      </x:c>
      <x:c r="I53" s="42" t="str">
        <x:v>TC-REL-007-CTRL</x:v>
      </x:c>
      <x:c r="J53" s="42" t="str">
        <x:v>R1 - PoC bout en bout</x:v>
      </x:c>
      <x:c r="K53" s="42" t="str">
        <x:v>À produire</x:v>
      </x:c>
    </x:row>
    <x:row r="54">
      <x:c r="A54" s="42" t="str">
        <x:v>REL-008</x:v>
      </x:c>
      <x:c r="B54" s="42" t="str">
        <x:v>US-REL-008</x:v>
      </x:c>
      <x:c r="C54" s="42" t="str">
        <x:v>Recouvrement et relances</x:v>
      </x:c>
      <x:c r="D54" s="42" t="str">
        <x:v>Spécifications fonctionnelles CNPM v1.1</x:v>
      </x:c>
      <x:c r="E54" s="42" t="str">
        <x:v>/api/v1/recovery-cases</x:v>
      </x:c>
      <x:c r="F54" s="42" t="str">
        <x:v>recovery.recovery_case; recovery.recovery_action</x:v>
      </x:c>
      <x:c r="G54" s="42" t="str">
        <x:v>RECOVERY.ACTION.WRITE</x:v>
      </x:c>
      <x:c r="H54" s="42" t="str">
        <x:v>TC-REL-008-NOM</x:v>
      </x:c>
      <x:c r="I54" s="42" t="str">
        <x:v>TC-REL-008-CTRL</x:v>
      </x:c>
      <x:c r="J54" s="42" t="str">
        <x:v>R1 - PoC bout en bout</x:v>
      </x:c>
      <x:c r="K54" s="42" t="str">
        <x:v>À produire</x:v>
      </x:c>
    </x:row>
    <x:row r="55">
      <x:c r="A55" s="42" t="str">
        <x:v>PRT-001</x:v>
      </x:c>
      <x:c r="B55" s="42" t="str">
        <x:v>US-PRT-001</x:v>
      </x:c>
      <x:c r="C55" s="42" t="str">
        <x:v>Portail et application membre</x:v>
      </x:c>
      <x:c r="D55" s="42" t="str">
        <x:v>Spécifications fonctionnelles CNPM v1.1</x:v>
      </x:c>
      <x:c r="E55" s="42" t="str">
        <x:v>/api/v1/members</x:v>
      </x:c>
      <x:c r="F55" s="42" t="str">
        <x:v>member.membership; service.request; document.document</x:v>
      </x:c>
      <x:c r="G55" s="42" t="str">
        <x:v>PORTAL.SELF_SERVICE</x:v>
      </x:c>
      <x:c r="H55" s="42" t="str">
        <x:v>TC-PRT-001-NOM</x:v>
      </x:c>
      <x:c r="I55" s="42" t="str">
        <x:v>TC-PRT-001-CTRL</x:v>
      </x:c>
      <x:c r="J55" s="42" t="str">
        <x:v>R2 - Portail et extension</x:v>
      </x:c>
      <x:c r="K55" s="42" t="str">
        <x:v>À produire</x:v>
      </x:c>
    </x:row>
    <x:row r="56">
      <x:c r="A56" s="42" t="str">
        <x:v>PRT-002</x:v>
      </x:c>
      <x:c r="B56" s="42" t="str">
        <x:v>US-PRT-002</x:v>
      </x:c>
      <x:c r="C56" s="42" t="str">
        <x:v>Portail et application membre</x:v>
      </x:c>
      <x:c r="D56" s="42" t="str">
        <x:v>Spécifications fonctionnelles CNPM v1.1</x:v>
      </x:c>
      <x:c r="E56" s="42" t="str">
        <x:v>/api/v1/members</x:v>
      </x:c>
      <x:c r="F56" s="42" t="str">
        <x:v>member.membership; service.request; document.document</x:v>
      </x:c>
      <x:c r="G56" s="42" t="str">
        <x:v>PORTAL.SELF_SERVICE</x:v>
      </x:c>
      <x:c r="H56" s="42" t="str">
        <x:v>TC-PRT-002-NOM</x:v>
      </x:c>
      <x:c r="I56" s="42" t="str">
        <x:v>TC-PRT-002-CTRL</x:v>
      </x:c>
      <x:c r="J56" s="42" t="str">
        <x:v>R2 - Portail et extension</x:v>
      </x:c>
      <x:c r="K56" s="42" t="str">
        <x:v>À produire</x:v>
      </x:c>
    </x:row>
    <x:row r="57">
      <x:c r="A57" s="42" t="str">
        <x:v>PRT-003</x:v>
      </x:c>
      <x:c r="B57" s="42" t="str">
        <x:v>US-PRT-003</x:v>
      </x:c>
      <x:c r="C57" s="42" t="str">
        <x:v>Portail et application membre</x:v>
      </x:c>
      <x:c r="D57" s="42" t="str">
        <x:v>Spécifications fonctionnelles CNPM v1.1</x:v>
      </x:c>
      <x:c r="E57" s="42" t="str">
        <x:v>/api/v1/members</x:v>
      </x:c>
      <x:c r="F57" s="42" t="str">
        <x:v>member.membership; service.request; document.document</x:v>
      </x:c>
      <x:c r="G57" s="42" t="str">
        <x:v>PORTAL.SELF_SERVICE</x:v>
      </x:c>
      <x:c r="H57" s="42" t="str">
        <x:v>TC-PRT-003-NOM</x:v>
      </x:c>
      <x:c r="I57" s="42" t="str">
        <x:v>TC-PRT-003-CTRL</x:v>
      </x:c>
      <x:c r="J57" s="42" t="str">
        <x:v>R2 - Portail et extension</x:v>
      </x:c>
      <x:c r="K57" s="42" t="str">
        <x:v>À produire</x:v>
      </x:c>
    </x:row>
    <x:row r="58">
      <x:c r="A58" s="42" t="str">
        <x:v>PRT-004</x:v>
      </x:c>
      <x:c r="B58" s="42" t="str">
        <x:v>US-PRT-004</x:v>
      </x:c>
      <x:c r="C58" s="42" t="str">
        <x:v>Portail et application membre</x:v>
      </x:c>
      <x:c r="D58" s="42" t="str">
        <x:v>Spécifications fonctionnelles CNPM v1.1</x:v>
      </x:c>
      <x:c r="E58" s="42" t="str">
        <x:v>/api/v1/members</x:v>
      </x:c>
      <x:c r="F58" s="42" t="str">
        <x:v>member.membership; service.request; document.document</x:v>
      </x:c>
      <x:c r="G58" s="42" t="str">
        <x:v>PORTAL.SELF_SERVICE</x:v>
      </x:c>
      <x:c r="H58" s="42" t="str">
        <x:v>TC-PRT-004-NOM</x:v>
      </x:c>
      <x:c r="I58" s="42" t="str">
        <x:v>TC-PRT-004-CTRL</x:v>
      </x:c>
      <x:c r="J58" s="42" t="str">
        <x:v>R2 - Portail et extension</x:v>
      </x:c>
      <x:c r="K58" s="42" t="str">
        <x:v>À produire</x:v>
      </x:c>
    </x:row>
    <x:row r="59">
      <x:c r="A59" s="42" t="str">
        <x:v>PRT-005</x:v>
      </x:c>
      <x:c r="B59" s="42" t="str">
        <x:v>US-PRT-005</x:v>
      </x:c>
      <x:c r="C59" s="42" t="str">
        <x:v>Portail et application membre</x:v>
      </x:c>
      <x:c r="D59" s="42" t="str">
        <x:v>Spécifications fonctionnelles CNPM v1.1</x:v>
      </x:c>
      <x:c r="E59" s="42" t="str">
        <x:v>/api/v1/members</x:v>
      </x:c>
      <x:c r="F59" s="42" t="str">
        <x:v>member.membership; service.request; document.document</x:v>
      </x:c>
      <x:c r="G59" s="42" t="str">
        <x:v>PORTAL.SELF_SERVICE</x:v>
      </x:c>
      <x:c r="H59" s="42" t="str">
        <x:v>TC-PRT-005-NOM</x:v>
      </x:c>
      <x:c r="I59" s="42" t="str">
        <x:v>TC-PRT-005-CTRL</x:v>
      </x:c>
      <x:c r="J59" s="42" t="str">
        <x:v>R2 - Portail et extension</x:v>
      </x:c>
      <x:c r="K59" s="42" t="str">
        <x:v>À produire</x:v>
      </x:c>
    </x:row>
    <x:row r="60">
      <x:c r="A60" s="42" t="str">
        <x:v>PRT-006</x:v>
      </x:c>
      <x:c r="B60" s="42" t="str">
        <x:v>US-PRT-006</x:v>
      </x:c>
      <x:c r="C60" s="42" t="str">
        <x:v>Portail et application membre</x:v>
      </x:c>
      <x:c r="D60" s="42" t="str">
        <x:v>Spécifications fonctionnelles CNPM v1.1</x:v>
      </x:c>
      <x:c r="E60" s="42" t="str">
        <x:v>/api/v1/members</x:v>
      </x:c>
      <x:c r="F60" s="42" t="str">
        <x:v>member.membership; service.request; document.document</x:v>
      </x:c>
      <x:c r="G60" s="42" t="str">
        <x:v>PORTAL.SELF_SERVICE</x:v>
      </x:c>
      <x:c r="H60" s="42" t="str">
        <x:v>TC-PRT-006-NOM</x:v>
      </x:c>
      <x:c r="I60" s="42" t="str">
        <x:v>TC-PRT-006-CTRL</x:v>
      </x:c>
      <x:c r="J60" s="42" t="str">
        <x:v>R2 - Portail et extension</x:v>
      </x:c>
      <x:c r="K60" s="42" t="str">
        <x:v>À produire</x:v>
      </x:c>
    </x:row>
    <x:row r="61">
      <x:c r="A61" s="42" t="str">
        <x:v>PRT-007</x:v>
      </x:c>
      <x:c r="B61" s="42" t="str">
        <x:v>US-PRT-007</x:v>
      </x:c>
      <x:c r="C61" s="42" t="str">
        <x:v>Portail et application membre</x:v>
      </x:c>
      <x:c r="D61" s="42" t="str">
        <x:v>Spécifications fonctionnelles CNPM v1.1</x:v>
      </x:c>
      <x:c r="E61" s="42" t="str">
        <x:v>/api/v1/members</x:v>
      </x:c>
      <x:c r="F61" s="42" t="str">
        <x:v>member.membership; service.request; document.document</x:v>
      </x:c>
      <x:c r="G61" s="42" t="str">
        <x:v>PORTAL.SELF_SERVICE</x:v>
      </x:c>
      <x:c r="H61" s="42" t="str">
        <x:v>TC-PRT-007-NOM</x:v>
      </x:c>
      <x:c r="I61" s="42" t="str">
        <x:v>TC-PRT-007-CTRL</x:v>
      </x:c>
      <x:c r="J61" s="42" t="str">
        <x:v>R2 - Portail et extension</x:v>
      </x:c>
      <x:c r="K61" s="42" t="str">
        <x:v>À produire</x:v>
      </x:c>
    </x:row>
    <x:row r="62">
      <x:c r="A62" s="42" t="str">
        <x:v>PRT-008</x:v>
      </x:c>
      <x:c r="B62" s="42" t="str">
        <x:v>US-PRT-008</x:v>
      </x:c>
      <x:c r="C62" s="42" t="str">
        <x:v>Portail et application membre</x:v>
      </x:c>
      <x:c r="D62" s="42" t="str">
        <x:v>Spécifications fonctionnelles CNPM v1.1</x:v>
      </x:c>
      <x:c r="E62" s="42" t="str">
        <x:v>/api/v1/members</x:v>
      </x:c>
      <x:c r="F62" s="42" t="str">
        <x:v>member.membership; service.request; document.document</x:v>
      </x:c>
      <x:c r="G62" s="42" t="str">
        <x:v>PORTAL.SELF_SERVICE</x:v>
      </x:c>
      <x:c r="H62" s="42" t="str">
        <x:v>TC-PRT-008-NOM</x:v>
      </x:c>
      <x:c r="I62" s="42" t="str">
        <x:v>TC-PRT-008-CTRL</x:v>
      </x:c>
      <x:c r="J62" s="42" t="str">
        <x:v>R2 - Portail et extension</x:v>
      </x:c>
      <x:c r="K62" s="42" t="str">
        <x:v>À produire</x:v>
      </x:c>
    </x:row>
    <x:row r="63">
      <x:c r="A63" s="42" t="str">
        <x:v>PRT-009</x:v>
      </x:c>
      <x:c r="B63" s="42" t="str">
        <x:v>US-PRT-009</x:v>
      </x:c>
      <x:c r="C63" s="42" t="str">
        <x:v>Portail et application membre</x:v>
      </x:c>
      <x:c r="D63" s="42" t="str">
        <x:v>Spécifications fonctionnelles CNPM v1.1</x:v>
      </x:c>
      <x:c r="E63" s="42" t="str">
        <x:v>/api/v1/members</x:v>
      </x:c>
      <x:c r="F63" s="42" t="str">
        <x:v>member.membership; service.request; document.document</x:v>
      </x:c>
      <x:c r="G63" s="42" t="str">
        <x:v>PORTAL.SELF_SERVICE</x:v>
      </x:c>
      <x:c r="H63" s="42" t="str">
        <x:v>TC-PRT-009-NOM</x:v>
      </x:c>
      <x:c r="I63" s="42" t="str">
        <x:v>TC-PRT-009-CTRL</x:v>
      </x:c>
      <x:c r="J63" s="42" t="str">
        <x:v>R2 - Portail et extension</x:v>
      </x:c>
      <x:c r="K63" s="42" t="str">
        <x:v>À produire</x:v>
      </x:c>
    </x:row>
    <x:row r="64">
      <x:c r="A64" s="42" t="str">
        <x:v>PRT-010</x:v>
      </x:c>
      <x:c r="B64" s="42" t="str">
        <x:v>US-PRT-010</x:v>
      </x:c>
      <x:c r="C64" s="42" t="str">
        <x:v>Portail et application membre</x:v>
      </x:c>
      <x:c r="D64" s="42" t="str">
        <x:v>Spécifications fonctionnelles CNPM v1.1</x:v>
      </x:c>
      <x:c r="E64" s="42" t="str">
        <x:v>/api/v1/members</x:v>
      </x:c>
      <x:c r="F64" s="42" t="str">
        <x:v>member.membership; service.request; document.document</x:v>
      </x:c>
      <x:c r="G64" s="42" t="str">
        <x:v>PORTAL.SELF_SERVICE</x:v>
      </x:c>
      <x:c r="H64" s="42" t="str">
        <x:v>TC-PRT-010-NOM</x:v>
      </x:c>
      <x:c r="I64" s="42" t="str">
        <x:v>TC-PRT-010-CTRL</x:v>
      </x:c>
      <x:c r="J64" s="42" t="str">
        <x:v>R2 - Portail et extension</x:v>
      </x:c>
      <x:c r="K64" s="42" t="str">
        <x:v>À produire</x:v>
      </x:c>
    </x:row>
    <x:row r="65">
      <x:c r="A65" s="42" t="str">
        <x:v>REQ-001</x:v>
      </x:c>
      <x:c r="B65" s="42" t="str">
        <x:v>US-REQ-001</x:v>
      </x:c>
      <x:c r="C65" s="42" t="str">
        <x:v>Requêtes et réclamations</x:v>
      </x:c>
      <x:c r="D65" s="42" t="str">
        <x:v>Spécifications fonctionnelles CNPM v1.1</x:v>
      </x:c>
      <x:c r="E65" s="42" t="str">
        <x:v>/api/v1/requests</x:v>
      </x:c>
      <x:c r="F65" s="42" t="str">
        <x:v>service.request; service.request_message</x:v>
      </x:c>
      <x:c r="G65" s="42" t="str">
        <x:v>REQUEST.WRITE</x:v>
      </x:c>
      <x:c r="H65" s="42" t="str">
        <x:v>TC-REQ-001-NOM</x:v>
      </x:c>
      <x:c r="I65" s="42" t="str">
        <x:v>TC-REQ-001-CTRL</x:v>
      </x:c>
      <x:c r="J65" s="42" t="str">
        <x:v>R2 - Portail et extension</x:v>
      </x:c>
      <x:c r="K65" s="42" t="str">
        <x:v>À produire</x:v>
      </x:c>
    </x:row>
    <x:row r="66">
      <x:c r="A66" s="42" t="str">
        <x:v>REQ-002</x:v>
      </x:c>
      <x:c r="B66" s="42" t="str">
        <x:v>US-REQ-002</x:v>
      </x:c>
      <x:c r="C66" s="42" t="str">
        <x:v>Requêtes et réclamations</x:v>
      </x:c>
      <x:c r="D66" s="42" t="str">
        <x:v>Spécifications fonctionnelles CNPM v1.1</x:v>
      </x:c>
      <x:c r="E66" s="42" t="str">
        <x:v>/api/v1/requests</x:v>
      </x:c>
      <x:c r="F66" s="42" t="str">
        <x:v>service.request; service.request_message</x:v>
      </x:c>
      <x:c r="G66" s="42" t="str">
        <x:v>REQUEST.WRITE</x:v>
      </x:c>
      <x:c r="H66" s="42" t="str">
        <x:v>TC-REQ-002-NOM</x:v>
      </x:c>
      <x:c r="I66" s="42" t="str">
        <x:v>TC-REQ-002-CTRL</x:v>
      </x:c>
      <x:c r="J66" s="42" t="str">
        <x:v>R2 - Portail et extension</x:v>
      </x:c>
      <x:c r="K66" s="42" t="str">
        <x:v>À produire</x:v>
      </x:c>
    </x:row>
    <x:row r="67">
      <x:c r="A67" s="42" t="str">
        <x:v>REQ-003</x:v>
      </x:c>
      <x:c r="B67" s="42" t="str">
        <x:v>US-REQ-003</x:v>
      </x:c>
      <x:c r="C67" s="42" t="str">
        <x:v>Requêtes et réclamations</x:v>
      </x:c>
      <x:c r="D67" s="42" t="str">
        <x:v>Spécifications fonctionnelles CNPM v1.1</x:v>
      </x:c>
      <x:c r="E67" s="42" t="str">
        <x:v>/api/v1/requests</x:v>
      </x:c>
      <x:c r="F67" s="42" t="str">
        <x:v>service.request; service.request_message</x:v>
      </x:c>
      <x:c r="G67" s="42" t="str">
        <x:v>REQUEST.WRITE</x:v>
      </x:c>
      <x:c r="H67" s="42" t="str">
        <x:v>TC-REQ-003-NOM</x:v>
      </x:c>
      <x:c r="I67" s="42" t="str">
        <x:v>TC-REQ-003-CTRL</x:v>
      </x:c>
      <x:c r="J67" s="42" t="str">
        <x:v>R2 - Portail et extension</x:v>
      </x:c>
      <x:c r="K67" s="42" t="str">
        <x:v>À produire</x:v>
      </x:c>
    </x:row>
    <x:row r="68">
      <x:c r="A68" s="42" t="str">
        <x:v>REQ-004</x:v>
      </x:c>
      <x:c r="B68" s="42" t="str">
        <x:v>US-REQ-004</x:v>
      </x:c>
      <x:c r="C68" s="42" t="str">
        <x:v>Requêtes et réclamations</x:v>
      </x:c>
      <x:c r="D68" s="42" t="str">
        <x:v>Spécifications fonctionnelles CNPM v1.1</x:v>
      </x:c>
      <x:c r="E68" s="42" t="str">
        <x:v>/api/v1/requests</x:v>
      </x:c>
      <x:c r="F68" s="42" t="str">
        <x:v>service.request; service.request_message</x:v>
      </x:c>
      <x:c r="G68" s="42" t="str">
        <x:v>REQUEST.WRITE</x:v>
      </x:c>
      <x:c r="H68" s="42" t="str">
        <x:v>TC-REQ-004-NOM</x:v>
      </x:c>
      <x:c r="I68" s="42" t="str">
        <x:v>TC-REQ-004-CTRL</x:v>
      </x:c>
      <x:c r="J68" s="42" t="str">
        <x:v>R2 - Portail et extension</x:v>
      </x:c>
      <x:c r="K68" s="42" t="str">
        <x:v>À produire</x:v>
      </x:c>
    </x:row>
    <x:row r="69">
      <x:c r="A69" s="42" t="str">
        <x:v>REQ-005</x:v>
      </x:c>
      <x:c r="B69" s="42" t="str">
        <x:v>US-REQ-005</x:v>
      </x:c>
      <x:c r="C69" s="42" t="str">
        <x:v>Requêtes et réclamations</x:v>
      </x:c>
      <x:c r="D69" s="42" t="str">
        <x:v>Spécifications fonctionnelles CNPM v1.1</x:v>
      </x:c>
      <x:c r="E69" s="42" t="str">
        <x:v>/api/v1/requests</x:v>
      </x:c>
      <x:c r="F69" s="42" t="str">
        <x:v>service.request; service.request_message</x:v>
      </x:c>
      <x:c r="G69" s="42" t="str">
        <x:v>REQUEST.WRITE</x:v>
      </x:c>
      <x:c r="H69" s="42" t="str">
        <x:v>TC-REQ-005-NOM</x:v>
      </x:c>
      <x:c r="I69" s="42" t="str">
        <x:v>TC-REQ-005-CTRL</x:v>
      </x:c>
      <x:c r="J69" s="42" t="str">
        <x:v>R2 - Portail et extension</x:v>
      </x:c>
      <x:c r="K69" s="42" t="str">
        <x:v>À produire</x:v>
      </x:c>
    </x:row>
    <x:row r="70">
      <x:c r="A70" s="42" t="str">
        <x:v>REQ-006</x:v>
      </x:c>
      <x:c r="B70" s="42" t="str">
        <x:v>US-REQ-006</x:v>
      </x:c>
      <x:c r="C70" s="42" t="str">
        <x:v>Requêtes et réclamations</x:v>
      </x:c>
      <x:c r="D70" s="42" t="str">
        <x:v>Spécifications fonctionnelles CNPM v1.1</x:v>
      </x:c>
      <x:c r="E70" s="42" t="str">
        <x:v>/api/v1/requests</x:v>
      </x:c>
      <x:c r="F70" s="42" t="str">
        <x:v>service.request; service.request_message</x:v>
      </x:c>
      <x:c r="G70" s="42" t="str">
        <x:v>REQUEST.WRITE</x:v>
      </x:c>
      <x:c r="H70" s="42" t="str">
        <x:v>TC-REQ-006-NOM</x:v>
      </x:c>
      <x:c r="I70" s="42" t="str">
        <x:v>TC-REQ-006-CTRL</x:v>
      </x:c>
      <x:c r="J70" s="42" t="str">
        <x:v>R2 - Portail et extension</x:v>
      </x:c>
      <x:c r="K70" s="42" t="str">
        <x:v>À produire</x:v>
      </x:c>
    </x:row>
    <x:row r="71">
      <x:c r="A71" s="42" t="str">
        <x:v>REQ-007</x:v>
      </x:c>
      <x:c r="B71" s="42" t="str">
        <x:v>US-REQ-007</x:v>
      </x:c>
      <x:c r="C71" s="42" t="str">
        <x:v>Requêtes et réclamations</x:v>
      </x:c>
      <x:c r="D71" s="42" t="str">
        <x:v>Spécifications fonctionnelles CNPM v1.1</x:v>
      </x:c>
      <x:c r="E71" s="42" t="str">
        <x:v>/api/v1/requests</x:v>
      </x:c>
      <x:c r="F71" s="42" t="str">
        <x:v>service.request; service.request_message</x:v>
      </x:c>
      <x:c r="G71" s="42" t="str">
        <x:v>REQUEST.WRITE</x:v>
      </x:c>
      <x:c r="H71" s="42" t="str">
        <x:v>TC-REQ-007-NOM</x:v>
      </x:c>
      <x:c r="I71" s="42" t="str">
        <x:v>TC-REQ-007-CTRL</x:v>
      </x:c>
      <x:c r="J71" s="42" t="str">
        <x:v>R2 - Portail et extension</x:v>
      </x:c>
      <x:c r="K71" s="42" t="str">
        <x:v>À produire</x:v>
      </x:c>
    </x:row>
    <x:row r="72">
      <x:c r="A72" s="42" t="str">
        <x:v>REQ-008</x:v>
      </x:c>
      <x:c r="B72" s="42" t="str">
        <x:v>US-REQ-008</x:v>
      </x:c>
      <x:c r="C72" s="42" t="str">
        <x:v>Requêtes et réclamations</x:v>
      </x:c>
      <x:c r="D72" s="42" t="str">
        <x:v>Spécifications fonctionnelles CNPM v1.1</x:v>
      </x:c>
      <x:c r="E72" s="42" t="str">
        <x:v>/api/v1/requests</x:v>
      </x:c>
      <x:c r="F72" s="42" t="str">
        <x:v>service.request; service.request_message</x:v>
      </x:c>
      <x:c r="G72" s="42" t="str">
        <x:v>REQUEST.WRITE</x:v>
      </x:c>
      <x:c r="H72" s="42" t="str">
        <x:v>TC-REQ-008-NOM</x:v>
      </x:c>
      <x:c r="I72" s="42" t="str">
        <x:v>TC-REQ-008-CTRL</x:v>
      </x:c>
      <x:c r="J72" s="42" t="str">
        <x:v>R2 - Portail et extension</x:v>
      </x:c>
      <x:c r="K72" s="42" t="str">
        <x:v>À produire</x:v>
      </x:c>
    </x:row>
    <x:row r="73">
      <x:c r="A73" s="42" t="str">
        <x:v>GRP-001</x:v>
      </x:c>
      <x:c r="B73" s="42" t="str">
        <x:v>US-GRP-001</x:v>
      </x:c>
      <x:c r="C73" s="42" t="str">
        <x:v>Groupements professionnels</x:v>
      </x:c>
      <x:c r="D73" s="42" t="str">
        <x:v>Spécifications fonctionnelles CNPM v1.1</x:v>
      </x:c>
      <x:c r="E73" s="42" t="str">
        <x:v>/api/v1/professional-groups</x:v>
      </x:c>
      <x:c r="F73" s="42" t="str">
        <x:v>member.professional_group; member.group_membership</x:v>
      </x:c>
      <x:c r="G73" s="42" t="str">
        <x:v>GROUP.READ</x:v>
      </x:c>
      <x:c r="H73" s="42" t="str">
        <x:v>TC-GRP-001-NOM</x:v>
      </x:c>
      <x:c r="I73" s="42" t="str">
        <x:v>TC-GRP-001-CTRL</x:v>
      </x:c>
      <x:c r="J73" s="42" t="str">
        <x:v>R2 - Portail et extension</x:v>
      </x:c>
      <x:c r="K73" s="42" t="str">
        <x:v>À produire</x:v>
      </x:c>
    </x:row>
    <x:row r="74">
      <x:c r="A74" s="42" t="str">
        <x:v>GRP-002</x:v>
      </x:c>
      <x:c r="B74" s="42" t="str">
        <x:v>US-GRP-002</x:v>
      </x:c>
      <x:c r="C74" s="42" t="str">
        <x:v>Groupements professionnels</x:v>
      </x:c>
      <x:c r="D74" s="42" t="str">
        <x:v>Spécifications fonctionnelles CNPM v1.1</x:v>
      </x:c>
      <x:c r="E74" s="42" t="str">
        <x:v>/api/v1/professional-groups</x:v>
      </x:c>
      <x:c r="F74" s="42" t="str">
        <x:v>member.professional_group; member.group_membership</x:v>
      </x:c>
      <x:c r="G74" s="42" t="str">
        <x:v>GROUP.READ</x:v>
      </x:c>
      <x:c r="H74" s="42" t="str">
        <x:v>TC-GRP-002-NOM</x:v>
      </x:c>
      <x:c r="I74" s="42" t="str">
        <x:v>TC-GRP-002-CTRL</x:v>
      </x:c>
      <x:c r="J74" s="42" t="str">
        <x:v>R2 - Portail et extension</x:v>
      </x:c>
      <x:c r="K74" s="42" t="str">
        <x:v>À produire</x:v>
      </x:c>
    </x:row>
    <x:row r="75">
      <x:c r="A75" s="42" t="str">
        <x:v>GRP-003</x:v>
      </x:c>
      <x:c r="B75" s="42" t="str">
        <x:v>US-GRP-003</x:v>
      </x:c>
      <x:c r="C75" s="42" t="str">
        <x:v>Groupements professionnels</x:v>
      </x:c>
      <x:c r="D75" s="42" t="str">
        <x:v>Spécifications fonctionnelles CNPM v1.1</x:v>
      </x:c>
      <x:c r="E75" s="42" t="str">
        <x:v>/api/v1/professional-groups</x:v>
      </x:c>
      <x:c r="F75" s="42" t="str">
        <x:v>member.professional_group; member.group_membership</x:v>
      </x:c>
      <x:c r="G75" s="42" t="str">
        <x:v>GROUP.READ</x:v>
      </x:c>
      <x:c r="H75" s="42" t="str">
        <x:v>TC-GRP-003-NOM</x:v>
      </x:c>
      <x:c r="I75" s="42" t="str">
        <x:v>TC-GRP-003-CTRL</x:v>
      </x:c>
      <x:c r="J75" s="42" t="str">
        <x:v>R2 - Portail et extension</x:v>
      </x:c>
      <x:c r="K75" s="42" t="str">
        <x:v>À produire</x:v>
      </x:c>
    </x:row>
    <x:row r="76">
      <x:c r="A76" s="42" t="str">
        <x:v>GRP-004</x:v>
      </x:c>
      <x:c r="B76" s="42" t="str">
        <x:v>US-GRP-004</x:v>
      </x:c>
      <x:c r="C76" s="42" t="str">
        <x:v>Groupements professionnels</x:v>
      </x:c>
      <x:c r="D76" s="42" t="str">
        <x:v>Spécifications fonctionnelles CNPM v1.1</x:v>
      </x:c>
      <x:c r="E76" s="42" t="str">
        <x:v>/api/v1/professional-groups</x:v>
      </x:c>
      <x:c r="F76" s="42" t="str">
        <x:v>member.professional_group; member.group_membership</x:v>
      </x:c>
      <x:c r="G76" s="42" t="str">
        <x:v>GROUP.READ</x:v>
      </x:c>
      <x:c r="H76" s="42" t="str">
        <x:v>TC-GRP-004-NOM</x:v>
      </x:c>
      <x:c r="I76" s="42" t="str">
        <x:v>TC-GRP-004-CTRL</x:v>
      </x:c>
      <x:c r="J76" s="42" t="str">
        <x:v>R2 - Portail et extension</x:v>
      </x:c>
      <x:c r="K76" s="42" t="str">
        <x:v>À produire</x:v>
      </x:c>
    </x:row>
    <x:row r="77">
      <x:c r="A77" s="42" t="str">
        <x:v>GRP-005</x:v>
      </x:c>
      <x:c r="B77" s="42" t="str">
        <x:v>US-GRP-005</x:v>
      </x:c>
      <x:c r="C77" s="42" t="str">
        <x:v>Groupements professionnels</x:v>
      </x:c>
      <x:c r="D77" s="42" t="str">
        <x:v>Spécifications fonctionnelles CNPM v1.1</x:v>
      </x:c>
      <x:c r="E77" s="42" t="str">
        <x:v>/api/v1/professional-groups</x:v>
      </x:c>
      <x:c r="F77" s="42" t="str">
        <x:v>member.professional_group; member.group_membership</x:v>
      </x:c>
      <x:c r="G77" s="42" t="str">
        <x:v>GROUP.READ</x:v>
      </x:c>
      <x:c r="H77" s="42" t="str">
        <x:v>TC-GRP-005-NOM</x:v>
      </x:c>
      <x:c r="I77" s="42" t="str">
        <x:v>TC-GRP-005-CTRL</x:v>
      </x:c>
      <x:c r="J77" s="42" t="str">
        <x:v>R2 - Portail et extension</x:v>
      </x:c>
      <x:c r="K77" s="42" t="str">
        <x:v>À produire</x:v>
      </x:c>
    </x:row>
    <x:row r="78">
      <x:c r="A78" s="42" t="str">
        <x:v>GRP-006</x:v>
      </x:c>
      <x:c r="B78" s="42" t="str">
        <x:v>US-GRP-006</x:v>
      </x:c>
      <x:c r="C78" s="42" t="str">
        <x:v>Groupements professionnels</x:v>
      </x:c>
      <x:c r="D78" s="42" t="str">
        <x:v>Spécifications fonctionnelles CNPM v1.1</x:v>
      </x:c>
      <x:c r="E78" s="42" t="str">
        <x:v>/api/v1/professional-groups</x:v>
      </x:c>
      <x:c r="F78" s="42" t="str">
        <x:v>member.professional_group; member.group_membership</x:v>
      </x:c>
      <x:c r="G78" s="42" t="str">
        <x:v>GROUP.READ</x:v>
      </x:c>
      <x:c r="H78" s="42" t="str">
        <x:v>TC-GRP-006-NOM</x:v>
      </x:c>
      <x:c r="I78" s="42" t="str">
        <x:v>TC-GRP-006-CTRL</x:v>
      </x:c>
      <x:c r="J78" s="42" t="str">
        <x:v>R2 - Portail et extension</x:v>
      </x:c>
      <x:c r="K78" s="42" t="str">
        <x:v>À produire</x:v>
      </x:c>
    </x:row>
    <x:row r="79">
      <x:c r="A79" s="42" t="str">
        <x:v>PRI-001</x:v>
      </x:c>
      <x:c r="B79" s="42" t="str">
        <x:v>US-PRI-001</x:v>
      </x:c>
      <x:c r="C79" s="42" t="str">
        <x:v>Primes et partage de revenus</x:v>
      </x:c>
      <x:c r="D79" s="42" t="str">
        <x:v>Spécifications fonctionnelles CNPM v1.1</x:v>
      </x:c>
      <x:c r="E79" s="42" t="str">
        <x:v>/api/v1/bonus-calculations</x:v>
      </x:c>
      <x:c r="F79" s="42" t="str">
        <x:v>incentive.bonus_calculation; incentive.revenue_share_statement</x:v>
      </x:c>
      <x:c r="G79" s="42" t="str">
        <x:v>INCENTIVE.READ</x:v>
      </x:c>
      <x:c r="H79" s="42" t="str">
        <x:v>TC-PRI-001-NOM</x:v>
      </x:c>
      <x:c r="I79" s="42" t="str">
        <x:v>TC-PRI-001-CTRL</x:v>
      </x:c>
      <x:c r="J79" s="42" t="str">
        <x:v>R2 - Portail et extension</x:v>
      </x:c>
      <x:c r="K79" s="42" t="str">
        <x:v>À produire</x:v>
      </x:c>
    </x:row>
    <x:row r="80">
      <x:c r="A80" s="42" t="str">
        <x:v>PRI-002</x:v>
      </x:c>
      <x:c r="B80" s="42" t="str">
        <x:v>US-PRI-002</x:v>
      </x:c>
      <x:c r="C80" s="42" t="str">
        <x:v>Primes et partage de revenus</x:v>
      </x:c>
      <x:c r="D80" s="42" t="str">
        <x:v>Spécifications fonctionnelles CNPM v1.1</x:v>
      </x:c>
      <x:c r="E80" s="42" t="str">
        <x:v>/api/v1/bonus-calculations</x:v>
      </x:c>
      <x:c r="F80" s="42" t="str">
        <x:v>incentive.bonus_calculation; incentive.revenue_share_statement</x:v>
      </x:c>
      <x:c r="G80" s="42" t="str">
        <x:v>INCENTIVE.READ</x:v>
      </x:c>
      <x:c r="H80" s="42" t="str">
        <x:v>TC-PRI-002-NOM</x:v>
      </x:c>
      <x:c r="I80" s="42" t="str">
        <x:v>TC-PRI-002-CTRL</x:v>
      </x:c>
      <x:c r="J80" s="42" t="str">
        <x:v>R2 - Portail et extension</x:v>
      </x:c>
      <x:c r="K80" s="42" t="str">
        <x:v>À produire</x:v>
      </x:c>
    </x:row>
    <x:row r="81">
      <x:c r="A81" s="42" t="str">
        <x:v>PRI-003</x:v>
      </x:c>
      <x:c r="B81" s="42" t="str">
        <x:v>US-PRI-003</x:v>
      </x:c>
      <x:c r="C81" s="42" t="str">
        <x:v>Primes et partage de revenus</x:v>
      </x:c>
      <x:c r="D81" s="42" t="str">
        <x:v>Spécifications fonctionnelles CNPM v1.1</x:v>
      </x:c>
      <x:c r="E81" s="42" t="str">
        <x:v>/api/v1/bonus-calculations</x:v>
      </x:c>
      <x:c r="F81" s="42" t="str">
        <x:v>incentive.bonus_calculation; incentive.revenue_share_statement</x:v>
      </x:c>
      <x:c r="G81" s="42" t="str">
        <x:v>INCENTIVE.READ</x:v>
      </x:c>
      <x:c r="H81" s="42" t="str">
        <x:v>TC-PRI-003-NOM</x:v>
      </x:c>
      <x:c r="I81" s="42" t="str">
        <x:v>TC-PRI-003-CTRL</x:v>
      </x:c>
      <x:c r="J81" s="42" t="str">
        <x:v>R2 - Portail et extension</x:v>
      </x:c>
      <x:c r="K81" s="42" t="str">
        <x:v>À produire</x:v>
      </x:c>
    </x:row>
    <x:row r="82">
      <x:c r="A82" s="42" t="str">
        <x:v>PRI-004</x:v>
      </x:c>
      <x:c r="B82" s="42" t="str">
        <x:v>US-PRI-004</x:v>
      </x:c>
      <x:c r="C82" s="42" t="str">
        <x:v>Primes et partage de revenus</x:v>
      </x:c>
      <x:c r="D82" s="42" t="str">
        <x:v>Spécifications fonctionnelles CNPM v1.1</x:v>
      </x:c>
      <x:c r="E82" s="42" t="str">
        <x:v>/api/v1/bonus-calculations</x:v>
      </x:c>
      <x:c r="F82" s="42" t="str">
        <x:v>incentive.bonus_calculation; incentive.revenue_share_statement</x:v>
      </x:c>
      <x:c r="G82" s="42" t="str">
        <x:v>INCENTIVE.READ</x:v>
      </x:c>
      <x:c r="H82" s="42" t="str">
        <x:v>TC-PRI-004-NOM</x:v>
      </x:c>
      <x:c r="I82" s="42" t="str">
        <x:v>TC-PRI-004-CTRL</x:v>
      </x:c>
      <x:c r="J82" s="42" t="str">
        <x:v>R2 - Portail et extension</x:v>
      </x:c>
      <x:c r="K82" s="42" t="str">
        <x:v>À produire</x:v>
      </x:c>
    </x:row>
    <x:row r="83">
      <x:c r="A83" s="42" t="str">
        <x:v>PRI-005</x:v>
      </x:c>
      <x:c r="B83" s="42" t="str">
        <x:v>US-PRI-005</x:v>
      </x:c>
      <x:c r="C83" s="42" t="str">
        <x:v>Primes et partage de revenus</x:v>
      </x:c>
      <x:c r="D83" s="42" t="str">
        <x:v>Spécifications fonctionnelles CNPM v1.1</x:v>
      </x:c>
      <x:c r="E83" s="42" t="str">
        <x:v>/api/v1/bonus-calculations</x:v>
      </x:c>
      <x:c r="F83" s="42" t="str">
        <x:v>incentive.bonus_calculation; incentive.revenue_share_statement</x:v>
      </x:c>
      <x:c r="G83" s="42" t="str">
        <x:v>INCENTIVE.READ</x:v>
      </x:c>
      <x:c r="H83" s="42" t="str">
        <x:v>TC-PRI-005-NOM</x:v>
      </x:c>
      <x:c r="I83" s="42" t="str">
        <x:v>TC-PRI-005-CTRL</x:v>
      </x:c>
      <x:c r="J83" s="42" t="str">
        <x:v>R2 - Portail et extension</x:v>
      </x:c>
      <x:c r="K83" s="42" t="str">
        <x:v>À produire</x:v>
      </x:c>
    </x:row>
    <x:row r="84">
      <x:c r="A84" s="42" t="str">
        <x:v>PRI-006</x:v>
      </x:c>
      <x:c r="B84" s="42" t="str">
        <x:v>US-PRI-006</x:v>
      </x:c>
      <x:c r="C84" s="42" t="str">
        <x:v>Primes et partage de revenus</x:v>
      </x:c>
      <x:c r="D84" s="42" t="str">
        <x:v>Spécifications fonctionnelles CNPM v1.1</x:v>
      </x:c>
      <x:c r="E84" s="42" t="str">
        <x:v>/api/v1/bonus-calculations</x:v>
      </x:c>
      <x:c r="F84" s="42" t="str">
        <x:v>incentive.bonus_calculation; incentive.revenue_share_statement</x:v>
      </x:c>
      <x:c r="G84" s="42" t="str">
        <x:v>INCENTIVE.READ</x:v>
      </x:c>
      <x:c r="H84" s="42" t="str">
        <x:v>TC-PRI-006-NOM</x:v>
      </x:c>
      <x:c r="I84" s="42" t="str">
        <x:v>TC-PRI-006-CTRL</x:v>
      </x:c>
      <x:c r="J84" s="42" t="str">
        <x:v>R2 - Portail et extension</x:v>
      </x:c>
      <x:c r="K84" s="42" t="str">
        <x:v>À produire</x:v>
      </x:c>
    </x:row>
    <x:row r="85">
      <x:c r="A85" s="42" t="str">
        <x:v>PRI-007</x:v>
      </x:c>
      <x:c r="B85" s="42" t="str">
        <x:v>US-PRI-007</x:v>
      </x:c>
      <x:c r="C85" s="42" t="str">
        <x:v>Primes et partage de revenus</x:v>
      </x:c>
      <x:c r="D85" s="42" t="str">
        <x:v>Spécifications fonctionnelles CNPM v1.1</x:v>
      </x:c>
      <x:c r="E85" s="42" t="str">
        <x:v>/api/v1/bonus-calculations</x:v>
      </x:c>
      <x:c r="F85" s="42" t="str">
        <x:v>incentive.bonus_calculation; incentive.revenue_share_statement</x:v>
      </x:c>
      <x:c r="G85" s="42" t="str">
        <x:v>INCENTIVE.READ</x:v>
      </x:c>
      <x:c r="H85" s="42" t="str">
        <x:v>TC-PRI-007-NOM</x:v>
      </x:c>
      <x:c r="I85" s="42" t="str">
        <x:v>TC-PRI-007-CTRL</x:v>
      </x:c>
      <x:c r="J85" s="42" t="str">
        <x:v>R2 - Portail et extension</x:v>
      </x:c>
      <x:c r="K85" s="42" t="str">
        <x:v>À produire</x:v>
      </x:c>
    </x:row>
    <x:row r="86">
      <x:c r="A86" s="42" t="str">
        <x:v>GED-001</x:v>
      </x:c>
      <x:c r="B86" s="42" t="str">
        <x:v>US-GED-001</x:v>
      </x:c>
      <x:c r="C86" s="42" t="str">
        <x:v>Gestion électronique des documents</x:v>
      </x:c>
      <x:c r="D86" s="42" t="str">
        <x:v>Spécifications fonctionnelles CNPM v1.1</x:v>
      </x:c>
      <x:c r="E86" s="42" t="str">
        <x:v>/api/v1/documents</x:v>
      </x:c>
      <x:c r="F86" s="42" t="str">
        <x:v>document.document; document.document_version</x:v>
      </x:c>
      <x:c r="G86" s="42" t="str">
        <x:v>DOCUMENT.READ</x:v>
      </x:c>
      <x:c r="H86" s="42" t="str">
        <x:v>TC-GED-001-NOM</x:v>
      </x:c>
      <x:c r="I86" s="42" t="str">
        <x:v>TC-GED-001-CTRL</x:v>
      </x:c>
      <x:c r="J86" s="42" t="str">
        <x:v>R2 - Portail et extension</x:v>
      </x:c>
      <x:c r="K86" s="42" t="str">
        <x:v>À produire</x:v>
      </x:c>
    </x:row>
    <x:row r="87">
      <x:c r="A87" s="42" t="str">
        <x:v>GED-002</x:v>
      </x:c>
      <x:c r="B87" s="42" t="str">
        <x:v>US-GED-002</x:v>
      </x:c>
      <x:c r="C87" s="42" t="str">
        <x:v>Gestion électronique des documents</x:v>
      </x:c>
      <x:c r="D87" s="42" t="str">
        <x:v>Spécifications fonctionnelles CNPM v1.1</x:v>
      </x:c>
      <x:c r="E87" s="42" t="str">
        <x:v>/api/v1/documents</x:v>
      </x:c>
      <x:c r="F87" s="42" t="str">
        <x:v>document.document; document.document_version</x:v>
      </x:c>
      <x:c r="G87" s="42" t="str">
        <x:v>DOCUMENT.READ</x:v>
      </x:c>
      <x:c r="H87" s="42" t="str">
        <x:v>TC-GED-002-NOM</x:v>
      </x:c>
      <x:c r="I87" s="42" t="str">
        <x:v>TC-GED-002-CTRL</x:v>
      </x:c>
      <x:c r="J87" s="42" t="str">
        <x:v>R2 - Portail et extension</x:v>
      </x:c>
      <x:c r="K87" s="42" t="str">
        <x:v>À produire</x:v>
      </x:c>
    </x:row>
    <x:row r="88">
      <x:c r="A88" s="42" t="str">
        <x:v>GED-003</x:v>
      </x:c>
      <x:c r="B88" s="42" t="str">
        <x:v>US-GED-003</x:v>
      </x:c>
      <x:c r="C88" s="42" t="str">
        <x:v>Gestion électronique des documents</x:v>
      </x:c>
      <x:c r="D88" s="42" t="str">
        <x:v>Spécifications fonctionnelles CNPM v1.1</x:v>
      </x:c>
      <x:c r="E88" s="42" t="str">
        <x:v>/api/v1/documents</x:v>
      </x:c>
      <x:c r="F88" s="42" t="str">
        <x:v>document.document; document.document_version</x:v>
      </x:c>
      <x:c r="G88" s="42" t="str">
        <x:v>DOCUMENT.READ</x:v>
      </x:c>
      <x:c r="H88" s="42" t="str">
        <x:v>TC-GED-003-NOM</x:v>
      </x:c>
      <x:c r="I88" s="42" t="str">
        <x:v>TC-GED-003-CTRL</x:v>
      </x:c>
      <x:c r="J88" s="42" t="str">
        <x:v>R2 - Portail et extension</x:v>
      </x:c>
      <x:c r="K88" s="42" t="str">
        <x:v>À produire</x:v>
      </x:c>
    </x:row>
    <x:row r="89">
      <x:c r="A89" s="42" t="str">
        <x:v>GED-004</x:v>
      </x:c>
      <x:c r="B89" s="42" t="str">
        <x:v>US-GED-004</x:v>
      </x:c>
      <x:c r="C89" s="42" t="str">
        <x:v>Gestion électronique des documents</x:v>
      </x:c>
      <x:c r="D89" s="42" t="str">
        <x:v>Spécifications fonctionnelles CNPM v1.1</x:v>
      </x:c>
      <x:c r="E89" s="42" t="str">
        <x:v>/api/v1/documents</x:v>
      </x:c>
      <x:c r="F89" s="42" t="str">
        <x:v>document.document; document.document_version</x:v>
      </x:c>
      <x:c r="G89" s="42" t="str">
        <x:v>DOCUMENT.READ</x:v>
      </x:c>
      <x:c r="H89" s="42" t="str">
        <x:v>TC-GED-004-NOM</x:v>
      </x:c>
      <x:c r="I89" s="42" t="str">
        <x:v>TC-GED-004-CTRL</x:v>
      </x:c>
      <x:c r="J89" s="42" t="str">
        <x:v>R2 - Portail et extension</x:v>
      </x:c>
      <x:c r="K89" s="42" t="str">
        <x:v>À produire</x:v>
      </x:c>
    </x:row>
    <x:row r="90">
      <x:c r="A90" s="42" t="str">
        <x:v>GED-005</x:v>
      </x:c>
      <x:c r="B90" s="42" t="str">
        <x:v>US-GED-005</x:v>
      </x:c>
      <x:c r="C90" s="42" t="str">
        <x:v>Gestion électronique des documents</x:v>
      </x:c>
      <x:c r="D90" s="42" t="str">
        <x:v>Spécifications fonctionnelles CNPM v1.1</x:v>
      </x:c>
      <x:c r="E90" s="42" t="str">
        <x:v>/api/v1/documents</x:v>
      </x:c>
      <x:c r="F90" s="42" t="str">
        <x:v>document.document; document.document_version</x:v>
      </x:c>
      <x:c r="G90" s="42" t="str">
        <x:v>DOCUMENT.READ</x:v>
      </x:c>
      <x:c r="H90" s="42" t="str">
        <x:v>TC-GED-005-NOM</x:v>
      </x:c>
      <x:c r="I90" s="42" t="str">
        <x:v>TC-GED-005-CTRL</x:v>
      </x:c>
      <x:c r="J90" s="42" t="str">
        <x:v>R2 - Portail et extension</x:v>
      </x:c>
      <x:c r="K90" s="42" t="str">
        <x:v>À produire</x:v>
      </x:c>
    </x:row>
    <x:row r="91">
      <x:c r="A91" s="42" t="str">
        <x:v>GED-006</x:v>
      </x:c>
      <x:c r="B91" s="42" t="str">
        <x:v>US-GED-006</x:v>
      </x:c>
      <x:c r="C91" s="42" t="str">
        <x:v>Gestion électronique des documents</x:v>
      </x:c>
      <x:c r="D91" s="42" t="str">
        <x:v>Spécifications fonctionnelles CNPM v1.1</x:v>
      </x:c>
      <x:c r="E91" s="42" t="str">
        <x:v>/api/v1/documents</x:v>
      </x:c>
      <x:c r="F91" s="42" t="str">
        <x:v>document.document; document.document_version</x:v>
      </x:c>
      <x:c r="G91" s="42" t="str">
        <x:v>DOCUMENT.READ</x:v>
      </x:c>
      <x:c r="H91" s="42" t="str">
        <x:v>TC-GED-006-NOM</x:v>
      </x:c>
      <x:c r="I91" s="42" t="str">
        <x:v>TC-GED-006-CTRL</x:v>
      </x:c>
      <x:c r="J91" s="42" t="str">
        <x:v>R2 - Portail et extension</x:v>
      </x:c>
      <x:c r="K91" s="42" t="str">
        <x:v>À produire</x:v>
      </x:c>
    </x:row>
    <x:row r="92">
      <x:c r="A92" s="42" t="str">
        <x:v>EVT-001</x:v>
      </x:c>
      <x:c r="B92" s="42" t="str">
        <x:v>US-EVT-001</x:v>
      </x:c>
      <x:c r="C92" s="42" t="str">
        <x:v>Événements et formations</x:v>
      </x:c>
      <x:c r="D92" s="42" t="str">
        <x:v>Spécifications fonctionnelles CNPM v1.1</x:v>
      </x:c>
      <x:c r="E92" s="42" t="str">
        <x:v>/api/v1/events</x:v>
      </x:c>
      <x:c r="F92" s="42" t="str">
        <x:v>event.event; event.registration</x:v>
      </x:c>
      <x:c r="G92" s="42" t="str">
        <x:v>EVENT.WRITE</x:v>
      </x:c>
      <x:c r="H92" s="42" t="str">
        <x:v>TC-EVT-001-NOM</x:v>
      </x:c>
      <x:c r="I92" s="42" t="str">
        <x:v>TC-EVT-001-CTRL</x:v>
      </x:c>
      <x:c r="J92" s="42" t="str">
        <x:v>R3 - Services premium</x:v>
      </x:c>
      <x:c r="K92" s="42" t="str">
        <x:v>À produire</x:v>
      </x:c>
    </x:row>
    <x:row r="93">
      <x:c r="A93" s="42" t="str">
        <x:v>EVT-002</x:v>
      </x:c>
      <x:c r="B93" s="42" t="str">
        <x:v>US-EVT-002</x:v>
      </x:c>
      <x:c r="C93" s="42" t="str">
        <x:v>Événements et formations</x:v>
      </x:c>
      <x:c r="D93" s="42" t="str">
        <x:v>Spécifications fonctionnelles CNPM v1.1</x:v>
      </x:c>
      <x:c r="E93" s="42" t="str">
        <x:v>/api/v1/events</x:v>
      </x:c>
      <x:c r="F93" s="42" t="str">
        <x:v>event.event; event.registration</x:v>
      </x:c>
      <x:c r="G93" s="42" t="str">
        <x:v>EVENT.WRITE</x:v>
      </x:c>
      <x:c r="H93" s="42" t="str">
        <x:v>TC-EVT-002-NOM</x:v>
      </x:c>
      <x:c r="I93" s="42" t="str">
        <x:v>TC-EVT-002-CTRL</x:v>
      </x:c>
      <x:c r="J93" s="42" t="str">
        <x:v>R3 - Services premium</x:v>
      </x:c>
      <x:c r="K93" s="42" t="str">
        <x:v>À produire</x:v>
      </x:c>
    </x:row>
    <x:row r="94">
      <x:c r="A94" s="42" t="str">
        <x:v>EVT-003</x:v>
      </x:c>
      <x:c r="B94" s="42" t="str">
        <x:v>US-EVT-003</x:v>
      </x:c>
      <x:c r="C94" s="42" t="str">
        <x:v>Événements et formations</x:v>
      </x:c>
      <x:c r="D94" s="42" t="str">
        <x:v>Spécifications fonctionnelles CNPM v1.1</x:v>
      </x:c>
      <x:c r="E94" s="42" t="str">
        <x:v>/api/v1/events</x:v>
      </x:c>
      <x:c r="F94" s="42" t="str">
        <x:v>event.event; event.registration</x:v>
      </x:c>
      <x:c r="G94" s="42" t="str">
        <x:v>EVENT.WRITE</x:v>
      </x:c>
      <x:c r="H94" s="42" t="str">
        <x:v>TC-EVT-003-NOM</x:v>
      </x:c>
      <x:c r="I94" s="42" t="str">
        <x:v>TC-EVT-003-CTRL</x:v>
      </x:c>
      <x:c r="J94" s="42" t="str">
        <x:v>R3 - Services premium</x:v>
      </x:c>
      <x:c r="K94" s="42" t="str">
        <x:v>À produire</x:v>
      </x:c>
    </x:row>
    <x:row r="95">
      <x:c r="A95" s="42" t="str">
        <x:v>EVT-004</x:v>
      </x:c>
      <x:c r="B95" s="42" t="str">
        <x:v>US-EVT-004</x:v>
      </x:c>
      <x:c r="C95" s="42" t="str">
        <x:v>Événements et formations</x:v>
      </x:c>
      <x:c r="D95" s="42" t="str">
        <x:v>Spécifications fonctionnelles CNPM v1.1</x:v>
      </x:c>
      <x:c r="E95" s="42" t="str">
        <x:v>/api/v1/events</x:v>
      </x:c>
      <x:c r="F95" s="42" t="str">
        <x:v>event.event; event.registration</x:v>
      </x:c>
      <x:c r="G95" s="42" t="str">
        <x:v>EVENT.WRITE</x:v>
      </x:c>
      <x:c r="H95" s="42" t="str">
        <x:v>TC-EVT-004-NOM</x:v>
      </x:c>
      <x:c r="I95" s="42" t="str">
        <x:v>TC-EVT-004-CTRL</x:v>
      </x:c>
      <x:c r="J95" s="42" t="str">
        <x:v>R3 - Services premium</x:v>
      </x:c>
      <x:c r="K95" s="42" t="str">
        <x:v>À produire</x:v>
      </x:c>
    </x:row>
    <x:row r="96">
      <x:c r="A96" s="42" t="str">
        <x:v>BI-001</x:v>
      </x:c>
      <x:c r="B96" s="42" t="str">
        <x:v>US-BI-001</x:v>
      </x:c>
      <x:c r="C96" s="42" t="str">
        <x:v>Décisionnel et reporting</x:v>
      </x:c>
      <x:c r="D96" s="42" t="str">
        <x:v>Spécifications fonctionnelles CNPM v1.1</x:v>
      </x:c>
      <x:c r="E96" s="42" t="str">
        <x:v>/api/v1/reports</x:v>
      </x:c>
      <x:c r="F96" s="42" t="str">
        <x:v>reporting.report_definition; reporting.report_execution</x:v>
      </x:c>
      <x:c r="G96" s="42" t="str">
        <x:v>REPORT.OPERATIONAL.READ</x:v>
      </x:c>
      <x:c r="H96" s="42" t="str">
        <x:v>TC-BI-001-NOM</x:v>
      </x:c>
      <x:c r="I96" s="42" t="str">
        <x:v>TC-BI-001-CTRL</x:v>
      </x:c>
      <x:c r="J96" s="42" t="str">
        <x:v>R3 - Services premium</x:v>
      </x:c>
      <x:c r="K96" s="42" t="str">
        <x:v>À produire</x:v>
      </x:c>
    </x:row>
    <x:row r="97">
      <x:c r="A97" s="42" t="str">
        <x:v>BI-002</x:v>
      </x:c>
      <x:c r="B97" s="42" t="str">
        <x:v>US-BI-002</x:v>
      </x:c>
      <x:c r="C97" s="42" t="str">
        <x:v>Décisionnel et reporting</x:v>
      </x:c>
      <x:c r="D97" s="42" t="str">
        <x:v>Spécifications fonctionnelles CNPM v1.1</x:v>
      </x:c>
      <x:c r="E97" s="42" t="str">
        <x:v>/api/v1/reports</x:v>
      </x:c>
      <x:c r="F97" s="42" t="str">
        <x:v>reporting.report_definition; reporting.report_execution</x:v>
      </x:c>
      <x:c r="G97" s="42" t="str">
        <x:v>REPORT.OPERATIONAL.READ</x:v>
      </x:c>
      <x:c r="H97" s="42" t="str">
        <x:v>TC-BI-002-NOM</x:v>
      </x:c>
      <x:c r="I97" s="42" t="str">
        <x:v>TC-BI-002-CTRL</x:v>
      </x:c>
      <x:c r="J97" s="42" t="str">
        <x:v>R3 - Services premium</x:v>
      </x:c>
      <x:c r="K97" s="42" t="str">
        <x:v>À produire</x:v>
      </x:c>
    </x:row>
    <x:row r="98">
      <x:c r="A98" s="42" t="str">
        <x:v>BI-003</x:v>
      </x:c>
      <x:c r="B98" s="42" t="str">
        <x:v>US-BI-003</x:v>
      </x:c>
      <x:c r="C98" s="42" t="str">
        <x:v>Décisionnel et reporting</x:v>
      </x:c>
      <x:c r="D98" s="42" t="str">
        <x:v>Spécifications fonctionnelles CNPM v1.1</x:v>
      </x:c>
      <x:c r="E98" s="42" t="str">
        <x:v>/api/v1/reports</x:v>
      </x:c>
      <x:c r="F98" s="42" t="str">
        <x:v>reporting.report_definition; reporting.report_execution</x:v>
      </x:c>
      <x:c r="G98" s="42" t="str">
        <x:v>REPORT.OPERATIONAL.READ</x:v>
      </x:c>
      <x:c r="H98" s="42" t="str">
        <x:v>TC-BI-003-NOM</x:v>
      </x:c>
      <x:c r="I98" s="42" t="str">
        <x:v>TC-BI-003-CTRL</x:v>
      </x:c>
      <x:c r="J98" s="42" t="str">
        <x:v>R3 - Services premium</x:v>
      </x:c>
      <x:c r="K98" s="42" t="str">
        <x:v>À produire</x:v>
      </x:c>
    </x:row>
    <x:row r="99">
      <x:c r="A99" s="42" t="str">
        <x:v>BI-004</x:v>
      </x:c>
      <x:c r="B99" s="42" t="str">
        <x:v>US-BI-004</x:v>
      </x:c>
      <x:c r="C99" s="42" t="str">
        <x:v>Décisionnel et reporting</x:v>
      </x:c>
      <x:c r="D99" s="42" t="str">
        <x:v>Spécifications fonctionnelles CNPM v1.1</x:v>
      </x:c>
      <x:c r="E99" s="42" t="str">
        <x:v>/api/v1/reports</x:v>
      </x:c>
      <x:c r="F99" s="42" t="str">
        <x:v>reporting.report_definition; reporting.report_execution</x:v>
      </x:c>
      <x:c r="G99" s="42" t="str">
        <x:v>REPORT.OPERATIONAL.READ</x:v>
      </x:c>
      <x:c r="H99" s="42" t="str">
        <x:v>TC-BI-004-NOM</x:v>
      </x:c>
      <x:c r="I99" s="42" t="str">
        <x:v>TC-BI-004-CTRL</x:v>
      </x:c>
      <x:c r="J99" s="42" t="str">
        <x:v>R3 - Services premium</x:v>
      </x:c>
      <x:c r="K99" s="42" t="str">
        <x:v>À produire</x:v>
      </x:c>
    </x:row>
    <x:row r="100">
      <x:c r="A100" s="42" t="str">
        <x:v>BI-005</x:v>
      </x:c>
      <x:c r="B100" s="42" t="str">
        <x:v>US-BI-005</x:v>
      </x:c>
      <x:c r="C100" s="42" t="str">
        <x:v>Décisionnel et reporting</x:v>
      </x:c>
      <x:c r="D100" s="42" t="str">
        <x:v>Spécifications fonctionnelles CNPM v1.1</x:v>
      </x:c>
      <x:c r="E100" s="42" t="str">
        <x:v>/api/v1/reports</x:v>
      </x:c>
      <x:c r="F100" s="42" t="str">
        <x:v>reporting.report_definition; reporting.report_execution</x:v>
      </x:c>
      <x:c r="G100" s="42" t="str">
        <x:v>REPORT.OPERATIONAL.READ</x:v>
      </x:c>
      <x:c r="H100" s="42" t="str">
        <x:v>TC-BI-005-NOM</x:v>
      </x:c>
      <x:c r="I100" s="42" t="str">
        <x:v>TC-BI-005-CTRL</x:v>
      </x:c>
      <x:c r="J100" s="42" t="str">
        <x:v>R3 - Services premium</x:v>
      </x:c>
      <x:c r="K100" s="42" t="str">
        <x:v>À produire</x:v>
      </x:c>
    </x:row>
    <x:row r="101">
      <x:c r="A101" s="42" t="str">
        <x:v>BI-006</x:v>
      </x:c>
      <x:c r="B101" s="42" t="str">
        <x:v>US-BI-006</x:v>
      </x:c>
      <x:c r="C101" s="42" t="str">
        <x:v>Décisionnel et reporting</x:v>
      </x:c>
      <x:c r="D101" s="42" t="str">
        <x:v>Spécifications fonctionnelles CNPM v1.1</x:v>
      </x:c>
      <x:c r="E101" s="42" t="str">
        <x:v>/api/v1/reports</x:v>
      </x:c>
      <x:c r="F101" s="42" t="str">
        <x:v>reporting.report_definition; reporting.report_execution</x:v>
      </x:c>
      <x:c r="G101" s="42" t="str">
        <x:v>REPORT.OPERATIONAL.READ</x:v>
      </x:c>
      <x:c r="H101" s="42" t="str">
        <x:v>TC-BI-006-NOM</x:v>
      </x:c>
      <x:c r="I101" s="42" t="str">
        <x:v>TC-BI-006-CTRL</x:v>
      </x:c>
      <x:c r="J101" s="42" t="str">
        <x:v>R3 - Services premium</x:v>
      </x:c>
      <x:c r="K101" s="42" t="str">
        <x:v>À produire</x:v>
      </x:c>
    </x:row>
    <x:row r="102">
      <x:c r="A102" s="42" t="str">
        <x:v>BI-007</x:v>
      </x:c>
      <x:c r="B102" s="42" t="str">
        <x:v>US-BI-007</x:v>
      </x:c>
      <x:c r="C102" s="42" t="str">
        <x:v>Décisionnel et reporting</x:v>
      </x:c>
      <x:c r="D102" s="42" t="str">
        <x:v>Spécifications fonctionnelles CNPM v1.1</x:v>
      </x:c>
      <x:c r="E102" s="42" t="str">
        <x:v>/api/v1/reports</x:v>
      </x:c>
      <x:c r="F102" s="42" t="str">
        <x:v>reporting.report_definition; reporting.report_execution</x:v>
      </x:c>
      <x:c r="G102" s="42" t="str">
        <x:v>REPORT.OPERATIONAL.READ</x:v>
      </x:c>
      <x:c r="H102" s="42" t="str">
        <x:v>TC-BI-007-NOM</x:v>
      </x:c>
      <x:c r="I102" s="42" t="str">
        <x:v>TC-BI-007-CTRL</x:v>
      </x:c>
      <x:c r="J102" s="42" t="str">
        <x:v>R3 - Services premium</x:v>
      </x:c>
      <x:c r="K102" s="42" t="str">
        <x:v>À produire</x:v>
      </x:c>
    </x:row>
    <x:row r="103">
      <x:c r="A103" s="42" t="str">
        <x:v>BI-008</x:v>
      </x:c>
      <x:c r="B103" s="42" t="str">
        <x:v>US-BI-008</x:v>
      </x:c>
      <x:c r="C103" s="42" t="str">
        <x:v>Décisionnel et reporting</x:v>
      </x:c>
      <x:c r="D103" s="42" t="str">
        <x:v>Spécifications fonctionnelles CNPM v1.1</x:v>
      </x:c>
      <x:c r="E103" s="42" t="str">
        <x:v>/api/v1/reports</x:v>
      </x:c>
      <x:c r="F103" s="42" t="str">
        <x:v>reporting.report_definition; reporting.report_execution</x:v>
      </x:c>
      <x:c r="G103" s="42" t="str">
        <x:v>REPORT.OPERATIONAL.READ</x:v>
      </x:c>
      <x:c r="H103" s="42" t="str">
        <x:v>TC-BI-008-NOM</x:v>
      </x:c>
      <x:c r="I103" s="42" t="str">
        <x:v>TC-BI-008-CTRL</x:v>
      </x:c>
      <x:c r="J103" s="42" t="str">
        <x:v>R3 - Services premium</x:v>
      </x:c>
      <x:c r="K103" s="42" t="str">
        <x:v>À produire</x:v>
      </x:c>
    </x:row>
    <x:row r="104">
      <x:c r="A104" s="42" t="str">
        <x:v>SEC-001</x:v>
      </x:c>
      <x:c r="B104" s="42" t="str">
        <x:v>US-SEC-001</x:v>
      </x:c>
      <x:c r="C104" s="42" t="str">
        <x:v>Sécurité et identité</x:v>
      </x:c>
      <x:c r="D104" s="42" t="str">
        <x:v>Spécifications fonctionnelles CNPM v1.1</x:v>
      </x:c>
      <x:c r="E104" s="42" t="str">
        <x:v>/api/v1/users</x:v>
      </x:c>
      <x:c r="F104" s="42" t="str">
        <x:v>iam.user_account; iam.user_role; iam.mfa_registration</x:v>
      </x:c>
      <x:c r="G104" s="42" t="str">
        <x:v>IAM.ACCESS.REVIEW</x:v>
      </x:c>
      <x:c r="H104" s="42" t="str">
        <x:v>TC-SEC-001-NOM</x:v>
      </x:c>
      <x:c r="I104" s="42" t="str">
        <x:v>TC-SEC-001-CTRL</x:v>
      </x:c>
      <x:c r="J104" s="42" t="str">
        <x:v>R0 - Fondations</x:v>
      </x:c>
      <x:c r="K104" s="42" t="str">
        <x:v>À produire</x:v>
      </x:c>
    </x:row>
    <x:row r="105">
      <x:c r="A105" s="42" t="str">
        <x:v>SEC-002</x:v>
      </x:c>
      <x:c r="B105" s="42" t="str">
        <x:v>US-SEC-002</x:v>
      </x:c>
      <x:c r="C105" s="42" t="str">
        <x:v>Sécurité et identité</x:v>
      </x:c>
      <x:c r="D105" s="42" t="str">
        <x:v>Spécifications fonctionnelles CNPM v1.1</x:v>
      </x:c>
      <x:c r="E105" s="42" t="str">
        <x:v>/api/v1/users</x:v>
      </x:c>
      <x:c r="F105" s="42" t="str">
        <x:v>iam.user_account; iam.user_role; iam.mfa_registration</x:v>
      </x:c>
      <x:c r="G105" s="42" t="str">
        <x:v>IAM.ACCESS.REVIEW</x:v>
      </x:c>
      <x:c r="H105" s="42" t="str">
        <x:v>TC-SEC-002-NOM</x:v>
      </x:c>
      <x:c r="I105" s="42" t="str">
        <x:v>TC-SEC-002-CTRL</x:v>
      </x:c>
      <x:c r="J105" s="42" t="str">
        <x:v>R0 - Fondations</x:v>
      </x:c>
      <x:c r="K105" s="42" t="str">
        <x:v>À produire</x:v>
      </x:c>
    </x:row>
    <x:row r="106">
      <x:c r="A106" s="42" t="str">
        <x:v>SEC-003</x:v>
      </x:c>
      <x:c r="B106" s="42" t="str">
        <x:v>US-SEC-003</x:v>
      </x:c>
      <x:c r="C106" s="42" t="str">
        <x:v>Sécurité et identité</x:v>
      </x:c>
      <x:c r="D106" s="42" t="str">
        <x:v>Spécifications fonctionnelles CNPM v1.1</x:v>
      </x:c>
      <x:c r="E106" s="42" t="str">
        <x:v>/api/v1/users</x:v>
      </x:c>
      <x:c r="F106" s="42" t="str">
        <x:v>iam.user_account; iam.user_role; iam.mfa_registration</x:v>
      </x:c>
      <x:c r="G106" s="42" t="str">
        <x:v>IAM.ACCESS.REVIEW</x:v>
      </x:c>
      <x:c r="H106" s="42" t="str">
        <x:v>TC-SEC-003-NOM</x:v>
      </x:c>
      <x:c r="I106" s="42" t="str">
        <x:v>TC-SEC-003-CTRL</x:v>
      </x:c>
      <x:c r="J106" s="42" t="str">
        <x:v>R0 - Fondations</x:v>
      </x:c>
      <x:c r="K106" s="42" t="str">
        <x:v>À produire</x:v>
      </x:c>
    </x:row>
    <x:row r="107">
      <x:c r="A107" s="42" t="str">
        <x:v>SEC-004</x:v>
      </x:c>
      <x:c r="B107" s="42" t="str">
        <x:v>US-SEC-004</x:v>
      </x:c>
      <x:c r="C107" s="42" t="str">
        <x:v>Sécurité et identité</x:v>
      </x:c>
      <x:c r="D107" s="42" t="str">
        <x:v>Spécifications fonctionnelles CNPM v1.1</x:v>
      </x:c>
      <x:c r="E107" s="42" t="str">
        <x:v>/api/v1/users</x:v>
      </x:c>
      <x:c r="F107" s="42" t="str">
        <x:v>iam.user_account; iam.user_role; iam.mfa_registration</x:v>
      </x:c>
      <x:c r="G107" s="42" t="str">
        <x:v>IAM.ACCESS.REVIEW</x:v>
      </x:c>
      <x:c r="H107" s="42" t="str">
        <x:v>TC-SEC-004-NOM</x:v>
      </x:c>
      <x:c r="I107" s="42" t="str">
        <x:v>TC-SEC-004-CTRL</x:v>
      </x:c>
      <x:c r="J107" s="42" t="str">
        <x:v>R0 - Fondations</x:v>
      </x:c>
      <x:c r="K107" s="42" t="str">
        <x:v>À produire</x:v>
      </x:c>
    </x:row>
    <x:row r="108">
      <x:c r="A108" s="42" t="str">
        <x:v>SEC-005</x:v>
      </x:c>
      <x:c r="B108" s="42" t="str">
        <x:v>US-SEC-005</x:v>
      </x:c>
      <x:c r="C108" s="42" t="str">
        <x:v>Sécurité et identité</x:v>
      </x:c>
      <x:c r="D108" s="42" t="str">
        <x:v>Spécifications fonctionnelles CNPM v1.1</x:v>
      </x:c>
      <x:c r="E108" s="42" t="str">
        <x:v>/api/v1/users</x:v>
      </x:c>
      <x:c r="F108" s="42" t="str">
        <x:v>iam.user_account; iam.user_role; iam.mfa_registration</x:v>
      </x:c>
      <x:c r="G108" s="42" t="str">
        <x:v>IAM.ACCESS.REVIEW</x:v>
      </x:c>
      <x:c r="H108" s="42" t="str">
        <x:v>TC-SEC-005-NOM</x:v>
      </x:c>
      <x:c r="I108" s="42" t="str">
        <x:v>TC-SEC-005-CTRL</x:v>
      </x:c>
      <x:c r="J108" s="42" t="str">
        <x:v>R0 - Fondations</x:v>
      </x:c>
      <x:c r="K108" s="42" t="str">
        <x:v>À produire</x:v>
      </x:c>
    </x:row>
    <x:row r="109">
      <x:c r="A109" s="42" t="str">
        <x:v>AUD-001</x:v>
      </x:c>
      <x:c r="B109" s="42" t="str">
        <x:v>US-AUD-001</x:v>
      </x:c>
      <x:c r="C109" s="42" t="str">
        <x:v>Audit et conformité</x:v>
      </x:c>
      <x:c r="D109" s="42" t="str">
        <x:v>Spécifications fonctionnelles CNPM v1.1</x:v>
      </x:c>
      <x:c r="E109" s="42" t="str">
        <x:v>/api/v1/audit-events</x:v>
      </x:c>
      <x:c r="F109" s="42" t="str">
        <x:v>audit.audit_event; audit.security_event</x:v>
      </x:c>
      <x:c r="G109" s="42" t="str">
        <x:v>AUDIT.READ</x:v>
      </x:c>
      <x:c r="H109" s="42" t="str">
        <x:v>TC-AUD-001-NOM</x:v>
      </x:c>
      <x:c r="I109" s="42" t="str">
        <x:v>TC-AUD-001-CTRL</x:v>
      </x:c>
      <x:c r="J109" s="42" t="str">
        <x:v>R0 - Fondations</x:v>
      </x:c>
      <x:c r="K109" s="42" t="str">
        <x:v>À produire</x:v>
      </x:c>
    </x:row>
    <x:row r="110">
      <x:c r="A110" s="42" t="str">
        <x:v>AUD-002</x:v>
      </x:c>
      <x:c r="B110" s="42" t="str">
        <x:v>US-AUD-002</x:v>
      </x:c>
      <x:c r="C110" s="42" t="str">
        <x:v>Audit et conformité</x:v>
      </x:c>
      <x:c r="D110" s="42" t="str">
        <x:v>Spécifications fonctionnelles CNPM v1.1</x:v>
      </x:c>
      <x:c r="E110" s="42" t="str">
        <x:v>/api/v1/audit-events</x:v>
      </x:c>
      <x:c r="F110" s="42" t="str">
        <x:v>audit.audit_event; audit.security_event</x:v>
      </x:c>
      <x:c r="G110" s="42" t="str">
        <x:v>AUDIT.READ</x:v>
      </x:c>
      <x:c r="H110" s="42" t="str">
        <x:v>TC-AUD-002-NOM</x:v>
      </x:c>
      <x:c r="I110" s="42" t="str">
        <x:v>TC-AUD-002-CTRL</x:v>
      </x:c>
      <x:c r="J110" s="42" t="str">
        <x:v>R0 - Fondations</x:v>
      </x:c>
      <x:c r="K110" s="42" t="str">
        <x:v>À produire</x:v>
      </x:c>
    </x:row>
    <x:row r="111">
      <x:c r="A111" s="42" t="str">
        <x:v>AUD-003</x:v>
      </x:c>
      <x:c r="B111" s="42" t="str">
        <x:v>US-AUD-003</x:v>
      </x:c>
      <x:c r="C111" s="42" t="str">
        <x:v>Audit et conformité</x:v>
      </x:c>
      <x:c r="D111" s="42" t="str">
        <x:v>Spécifications fonctionnelles CNPM v1.1</x:v>
      </x:c>
      <x:c r="E111" s="42" t="str">
        <x:v>/api/v1/audit-events</x:v>
      </x:c>
      <x:c r="F111" s="42" t="str">
        <x:v>audit.audit_event; audit.security_event</x:v>
      </x:c>
      <x:c r="G111" s="42" t="str">
        <x:v>AUDIT.READ</x:v>
      </x:c>
      <x:c r="H111" s="42" t="str">
        <x:v>TC-AUD-003-NOM</x:v>
      </x:c>
      <x:c r="I111" s="42" t="str">
        <x:v>TC-AUD-003-CTRL</x:v>
      </x:c>
      <x:c r="J111" s="42" t="str">
        <x:v>R0 - Fondations</x:v>
      </x:c>
      <x:c r="K111" s="42" t="str">
        <x:v>À produire</x:v>
      </x:c>
    </x:row>
    <x:row r="112">
      <x:c r="A112" s="42" t="str">
        <x:v>AUD-004</x:v>
      </x:c>
      <x:c r="B112" s="42" t="str">
        <x:v>US-AUD-004</x:v>
      </x:c>
      <x:c r="C112" s="42" t="str">
        <x:v>Audit et conformité</x:v>
      </x:c>
      <x:c r="D112" s="42" t="str">
        <x:v>Spécifications fonctionnelles CNPM v1.1</x:v>
      </x:c>
      <x:c r="E112" s="42" t="str">
        <x:v>/api/v1/audit-events</x:v>
      </x:c>
      <x:c r="F112" s="42" t="str">
        <x:v>audit.audit_event; audit.security_event</x:v>
      </x:c>
      <x:c r="G112" s="42" t="str">
        <x:v>AUDIT.READ</x:v>
      </x:c>
      <x:c r="H112" s="42" t="str">
        <x:v>TC-AUD-004-NOM</x:v>
      </x:c>
      <x:c r="I112" s="42" t="str">
        <x:v>TC-AUD-004-CTRL</x:v>
      </x:c>
      <x:c r="J112" s="42" t="str">
        <x:v>R0 - Fondations</x:v>
      </x:c>
      <x:c r="K112" s="42" t="str">
        <x:v>À produire</x:v>
      </x:c>
    </x:row>
    <x:row r="113">
      <x:c r="A113" s="42" t="str">
        <x:v>AUD-005</x:v>
      </x:c>
      <x:c r="B113" s="42" t="str">
        <x:v>US-AUD-005</x:v>
      </x:c>
      <x:c r="C113" s="42" t="str">
        <x:v>Audit et conformité</x:v>
      </x:c>
      <x:c r="D113" s="42" t="str">
        <x:v>Spécifications fonctionnelles CNPM v1.1</x:v>
      </x:c>
      <x:c r="E113" s="42" t="str">
        <x:v>/api/v1/audit-events</x:v>
      </x:c>
      <x:c r="F113" s="42" t="str">
        <x:v>audit.audit_event; audit.security_event</x:v>
      </x:c>
      <x:c r="G113" s="42" t="str">
        <x:v>AUDIT.READ</x:v>
      </x:c>
      <x:c r="H113" s="42" t="str">
        <x:v>TC-AUD-005-NOM</x:v>
      </x:c>
      <x:c r="I113" s="42" t="str">
        <x:v>TC-AUD-005-CTRL</x:v>
      </x:c>
      <x:c r="J113" s="42" t="str">
        <x:v>R0 - Fondations</x:v>
      </x:c>
      <x:c r="K113" s="42" t="str">
        <x:v>À produire</x:v>
      </x:c>
    </x:row>
    <x:row r="114">
      <x:c r="A114" s="42" t="str">
        <x:v>INT-001</x:v>
      </x:c>
      <x:c r="B114" s="42" t="str">
        <x:v>US-INT-001</x:v>
      </x:c>
      <x:c r="C114" s="42" t="str">
        <x:v>Intégrations et interopérabilité</x:v>
      </x:c>
      <x:c r="D114" s="42" t="str">
        <x:v>Spécifications fonctionnelles CNPM v1.1</x:v>
      </x:c>
      <x:c r="E114" s="42" t="str">
        <x:v>/api/v1/integrations</x:v>
      </x:c>
      <x:c r="F114" s="42" t="str">
        <x:v>integration.partner; integration.outbox_event</x:v>
      </x:c>
      <x:c r="G114" s="42" t="str">
        <x:v>INTEGRATION.CONFIG.WRITE</x:v>
      </x:c>
      <x:c r="H114" s="42" t="str">
        <x:v>TC-INT-001-NOM</x:v>
      </x:c>
      <x:c r="I114" s="42" t="str">
        <x:v>TC-INT-001-CTRL</x:v>
      </x:c>
      <x:c r="J114" s="42" t="str">
        <x:v>R3 - Services premium</x:v>
      </x:c>
      <x:c r="K114" s="42" t="str">
        <x:v>À produire</x:v>
      </x:c>
    </x:row>
    <x:row r="115">
      <x:c r="A115" s="42" t="str">
        <x:v>INT-002</x:v>
      </x:c>
      <x:c r="B115" s="42" t="str">
        <x:v>US-INT-002</x:v>
      </x:c>
      <x:c r="C115" s="42" t="str">
        <x:v>Intégrations et interopérabilité</x:v>
      </x:c>
      <x:c r="D115" s="42" t="str">
        <x:v>Spécifications fonctionnelles CNPM v1.1</x:v>
      </x:c>
      <x:c r="E115" s="42" t="str">
        <x:v>/api/v1/integrations</x:v>
      </x:c>
      <x:c r="F115" s="42" t="str">
        <x:v>integration.partner; integration.outbox_event</x:v>
      </x:c>
      <x:c r="G115" s="42" t="str">
        <x:v>INTEGRATION.CONFIG.WRITE</x:v>
      </x:c>
      <x:c r="H115" s="42" t="str">
        <x:v>TC-INT-002-NOM</x:v>
      </x:c>
      <x:c r="I115" s="42" t="str">
        <x:v>TC-INT-002-CTRL</x:v>
      </x:c>
      <x:c r="J115" s="42" t="str">
        <x:v>R3 - Services premium</x:v>
      </x:c>
      <x:c r="K115" s="42" t="str">
        <x:v>À produire</x:v>
      </x:c>
    </x:row>
    <x:row r="116">
      <x:c r="A116" s="42" t="str">
        <x:v>INT-003</x:v>
      </x:c>
      <x:c r="B116" s="42" t="str">
        <x:v>US-INT-003</x:v>
      </x:c>
      <x:c r="C116" s="42" t="str">
        <x:v>Intégrations et interopérabilité</x:v>
      </x:c>
      <x:c r="D116" s="42" t="str">
        <x:v>Spécifications fonctionnelles CNPM v1.1</x:v>
      </x:c>
      <x:c r="E116" s="42" t="str">
        <x:v>/api/v1/integrations</x:v>
      </x:c>
      <x:c r="F116" s="42" t="str">
        <x:v>integration.partner; integration.outbox_event</x:v>
      </x:c>
      <x:c r="G116" s="42" t="str">
        <x:v>INTEGRATION.CONFIG.WRITE</x:v>
      </x:c>
      <x:c r="H116" s="42" t="str">
        <x:v>TC-INT-003-NOM</x:v>
      </x:c>
      <x:c r="I116" s="42" t="str">
        <x:v>TC-INT-003-CTRL</x:v>
      </x:c>
      <x:c r="J116" s="42" t="str">
        <x:v>R3 - Services premium</x:v>
      </x:c>
      <x:c r="K116" s="42" t="str">
        <x:v>À produire</x:v>
      </x:c>
    </x:row>
    <x:row r="117">
      <x:c r="A117" s="42" t="str">
        <x:v>INT-004</x:v>
      </x:c>
      <x:c r="B117" s="42" t="str">
        <x:v>US-INT-004</x:v>
      </x:c>
      <x:c r="C117" s="42" t="str">
        <x:v>Intégrations et interopérabilité</x:v>
      </x:c>
      <x:c r="D117" s="42" t="str">
        <x:v>Spécifications fonctionnelles CNPM v1.1</x:v>
      </x:c>
      <x:c r="E117" s="42" t="str">
        <x:v>/api/v1/integrations</x:v>
      </x:c>
      <x:c r="F117" s="42" t="str">
        <x:v>integration.partner; integration.outbox_event</x:v>
      </x:c>
      <x:c r="G117" s="42" t="str">
        <x:v>INTEGRATION.CONFIG.WRITE</x:v>
      </x:c>
      <x:c r="H117" s="42" t="str">
        <x:v>TC-INT-004-NOM</x:v>
      </x:c>
      <x:c r="I117" s="42" t="str">
        <x:v>TC-INT-004-CTRL</x:v>
      </x:c>
      <x:c r="J117" s="42" t="str">
        <x:v>R3 - Services premium</x:v>
      </x:c>
      <x:c r="K117" s="42" t="str">
        <x:v>À produire</x:v>
      </x:c>
    </x:row>
    <x:row r="118">
      <x:c r="A118" s="42" t="str">
        <x:v>INT-005</x:v>
      </x:c>
      <x:c r="B118" s="42" t="str">
        <x:v>US-INT-005</x:v>
      </x:c>
      <x:c r="C118" s="42" t="str">
        <x:v>Intégrations et interopérabilité</x:v>
      </x:c>
      <x:c r="D118" s="42" t="str">
        <x:v>Spécifications fonctionnelles CNPM v1.1</x:v>
      </x:c>
      <x:c r="E118" s="42" t="str">
        <x:v>/api/v1/integrations</x:v>
      </x:c>
      <x:c r="F118" s="42" t="str">
        <x:v>integration.partner; integration.outbox_event</x:v>
      </x:c>
      <x:c r="G118" s="42" t="str">
        <x:v>INTEGRATION.CONFIG.WRITE</x:v>
      </x:c>
      <x:c r="H118" s="42" t="str">
        <x:v>TC-INT-005-NOM</x:v>
      </x:c>
      <x:c r="I118" s="42" t="str">
        <x:v>TC-INT-005-CTRL</x:v>
      </x:c>
      <x:c r="J118" s="42" t="str">
        <x:v>R3 - Services premium</x:v>
      </x:c>
      <x:c r="K118" s="42" t="str">
        <x:v>À produire</x:v>
      </x:c>
    </x:row>
    <x:row r="119">
      <x:c r="A119" s="42" t="str">
        <x:v>INT-006</x:v>
      </x:c>
      <x:c r="B119" s="42" t="str">
        <x:v>US-INT-006</x:v>
      </x:c>
      <x:c r="C119" s="42" t="str">
        <x:v>Intégrations et interopérabilité</x:v>
      </x:c>
      <x:c r="D119" s="42" t="str">
        <x:v>Spécifications fonctionnelles CNPM v1.1</x:v>
      </x:c>
      <x:c r="E119" s="42" t="str">
        <x:v>/api/v1/integrations</x:v>
      </x:c>
      <x:c r="F119" s="42" t="str">
        <x:v>integration.partner; integration.outbox_event</x:v>
      </x:c>
      <x:c r="G119" s="42" t="str">
        <x:v>INTEGRATION.CONFIG.WRITE</x:v>
      </x:c>
      <x:c r="H119" s="42" t="str">
        <x:v>TC-INT-006-NOM</x:v>
      </x:c>
      <x:c r="I119" s="42" t="str">
        <x:v>TC-INT-006-CTRL</x:v>
      </x:c>
      <x:c r="J119" s="42" t="str">
        <x:v>R3 - Services premium</x:v>
      </x:c>
      <x:c r="K119" s="42" t="str">
        <x:v>À produire</x:v>
      </x:c>
    </x:row>
    <x:row r="120">
      <x:c r="A120" s="42" t="str">
        <x:v>DB-001</x:v>
      </x:c>
      <x:c r="B120" s="42" t="str">
        <x:v>US-DB-001</x:v>
      </x:c>
      <x:c r="C120" s="42" t="str">
        <x:v>PostgreSQL et données</x:v>
      </x:c>
      <x:c r="D120" s="42" t="str">
        <x:v>Spécifications fonctionnelles CNPM v1.1</x:v>
      </x:c>
      <x:c r="E120" s="42" t="str">
        <x:v>N/A - migration Flyway</x:v>
      </x:c>
      <x:c r="F120" s="42" t="str">
        <x:v>Schémas PostgreSQL</x:v>
      </x:c>
      <x:c r="G120" s="42" t="str">
        <x:v>DATA.ADMIN</x:v>
      </x:c>
      <x:c r="H120" s="42" t="str">
        <x:v>TC-DB-001-NOM</x:v>
      </x:c>
      <x:c r="I120" s="42" t="str">
        <x:v>TC-DB-001-CTRL</x:v>
      </x:c>
      <x:c r="J120" s="42" t="str">
        <x:v>R0 - Fondations</x:v>
      </x:c>
      <x:c r="K120" s="42" t="str">
        <x:v>À produire</x:v>
      </x:c>
    </x:row>
    <x:row r="121">
      <x:c r="A121" s="42" t="str">
        <x:v>DB-002</x:v>
      </x:c>
      <x:c r="B121" s="42" t="str">
        <x:v>US-DB-002</x:v>
      </x:c>
      <x:c r="C121" s="42" t="str">
        <x:v>PostgreSQL et données</x:v>
      </x:c>
      <x:c r="D121" s="42" t="str">
        <x:v>Spécifications fonctionnelles CNPM v1.1</x:v>
      </x:c>
      <x:c r="E121" s="42" t="str">
        <x:v>N/A - migration Flyway</x:v>
      </x:c>
      <x:c r="F121" s="42" t="str">
        <x:v>Schémas PostgreSQL</x:v>
      </x:c>
      <x:c r="G121" s="42" t="str">
        <x:v>DATA.ADMIN</x:v>
      </x:c>
      <x:c r="H121" s="42" t="str">
        <x:v>TC-DB-002-NOM</x:v>
      </x:c>
      <x:c r="I121" s="42" t="str">
        <x:v>TC-DB-002-CTRL</x:v>
      </x:c>
      <x:c r="J121" s="42" t="str">
        <x:v>R0 - Fondations</x:v>
      </x:c>
      <x:c r="K121" s="42" t="str">
        <x:v>À produire</x:v>
      </x:c>
    </x:row>
    <x:row r="122">
      <x:c r="A122" s="42" t="str">
        <x:v>DB-003</x:v>
      </x:c>
      <x:c r="B122" s="42" t="str">
        <x:v>US-DB-003</x:v>
      </x:c>
      <x:c r="C122" s="42" t="str">
        <x:v>PostgreSQL et données</x:v>
      </x:c>
      <x:c r="D122" s="42" t="str">
        <x:v>Spécifications fonctionnelles CNPM v1.1</x:v>
      </x:c>
      <x:c r="E122" s="42" t="str">
        <x:v>N/A - migration Flyway</x:v>
      </x:c>
      <x:c r="F122" s="42" t="str">
        <x:v>Schémas PostgreSQL</x:v>
      </x:c>
      <x:c r="G122" s="42" t="str">
        <x:v>DATA.ADMIN</x:v>
      </x:c>
      <x:c r="H122" s="42" t="str">
        <x:v>TC-DB-003-NOM</x:v>
      </x:c>
      <x:c r="I122" s="42" t="str">
        <x:v>TC-DB-003-CTRL</x:v>
      </x:c>
      <x:c r="J122" s="42" t="str">
        <x:v>R0 - Fondations</x:v>
      </x:c>
      <x:c r="K122" s="42" t="str">
        <x:v>À produire</x:v>
      </x:c>
    </x:row>
    <x:row r="123">
      <x:c r="A123" s="42" t="str">
        <x:v>DB-004</x:v>
      </x:c>
      <x:c r="B123" s="42" t="str">
        <x:v>US-DB-004</x:v>
      </x:c>
      <x:c r="C123" s="42" t="str">
        <x:v>PostgreSQL et données</x:v>
      </x:c>
      <x:c r="D123" s="42" t="str">
        <x:v>Spécifications fonctionnelles CNPM v1.1</x:v>
      </x:c>
      <x:c r="E123" s="42" t="str">
        <x:v>N/A - migration Flyway</x:v>
      </x:c>
      <x:c r="F123" s="42" t="str">
        <x:v>Schémas PostgreSQL</x:v>
      </x:c>
      <x:c r="G123" s="42" t="str">
        <x:v>DATA.ADMIN</x:v>
      </x:c>
      <x:c r="H123" s="42" t="str">
        <x:v>TC-DB-004-NOM</x:v>
      </x:c>
      <x:c r="I123" s="42" t="str">
        <x:v>TC-DB-004-CTRL</x:v>
      </x:c>
      <x:c r="J123" s="42" t="str">
        <x:v>R0 - Fondations</x:v>
      </x:c>
      <x:c r="K123" s="42" t="str">
        <x:v>À produire</x:v>
      </x:c>
    </x:row>
    <x:row r="124">
      <x:c r="A124" s="42" t="str">
        <x:v>DB-005</x:v>
      </x:c>
      <x:c r="B124" s="42" t="str">
        <x:v>US-DB-005</x:v>
      </x:c>
      <x:c r="C124" s="42" t="str">
        <x:v>PostgreSQL et données</x:v>
      </x:c>
      <x:c r="D124" s="42" t="str">
        <x:v>Spécifications fonctionnelles CNPM v1.1</x:v>
      </x:c>
      <x:c r="E124" s="42" t="str">
        <x:v>N/A - migration Flyway</x:v>
      </x:c>
      <x:c r="F124" s="42" t="str">
        <x:v>Schémas PostgreSQL</x:v>
      </x:c>
      <x:c r="G124" s="42" t="str">
        <x:v>DATA.ADMIN</x:v>
      </x:c>
      <x:c r="H124" s="42" t="str">
        <x:v>TC-DB-005-NOM</x:v>
      </x:c>
      <x:c r="I124" s="42" t="str">
        <x:v>TC-DB-005-CTRL</x:v>
      </x:c>
      <x:c r="J124" s="42" t="str">
        <x:v>R0 - Fondations</x:v>
      </x:c>
      <x:c r="K124" s="42" t="str">
        <x:v>À produire</x:v>
      </x:c>
    </x:row>
    <x:row r="125">
      <x:c r="A125" s="42" t="str">
        <x:v>DB-006</x:v>
      </x:c>
      <x:c r="B125" s="42" t="str">
        <x:v>US-DB-006</x:v>
      </x:c>
      <x:c r="C125" s="42" t="str">
        <x:v>PostgreSQL et données</x:v>
      </x:c>
      <x:c r="D125" s="42" t="str">
        <x:v>Spécifications fonctionnelles CNPM v1.1</x:v>
      </x:c>
      <x:c r="E125" s="42" t="str">
        <x:v>N/A - migration Flyway</x:v>
      </x:c>
      <x:c r="F125" s="42" t="str">
        <x:v>Schémas PostgreSQL</x:v>
      </x:c>
      <x:c r="G125" s="42" t="str">
        <x:v>DATA.ADMIN</x:v>
      </x:c>
      <x:c r="H125" s="42" t="str">
        <x:v>TC-DB-006-NOM</x:v>
      </x:c>
      <x:c r="I125" s="42" t="str">
        <x:v>TC-DB-006-CTRL</x:v>
      </x:c>
      <x:c r="J125" s="42" t="str">
        <x:v>R0 - Fondations</x:v>
      </x:c>
      <x:c r="K125" s="42" t="str">
        <x:v>À produire</x:v>
      </x:c>
    </x:row>
    <x:row r="126">
      <x:c r="A126" s="42" t="str">
        <x:v>DB-007</x:v>
      </x:c>
      <x:c r="B126" s="42" t="str">
        <x:v>US-DB-007</x:v>
      </x:c>
      <x:c r="C126" s="42" t="str">
        <x:v>PostgreSQL et données</x:v>
      </x:c>
      <x:c r="D126" s="42" t="str">
        <x:v>Spécifications fonctionnelles CNPM v1.1</x:v>
      </x:c>
      <x:c r="E126" s="42" t="str">
        <x:v>N/A - migration Flyway</x:v>
      </x:c>
      <x:c r="F126" s="42" t="str">
        <x:v>Schémas PostgreSQL</x:v>
      </x:c>
      <x:c r="G126" s="42" t="str">
        <x:v>DATA.ADMIN</x:v>
      </x:c>
      <x:c r="H126" s="42" t="str">
        <x:v>TC-DB-007-NOM</x:v>
      </x:c>
      <x:c r="I126" s="42" t="str">
        <x:v>TC-DB-007-CTRL</x:v>
      </x:c>
      <x:c r="J126" s="42" t="str">
        <x:v>R0 - Fondations</x:v>
      </x:c>
      <x:c r="K126" s="42" t="str">
        <x:v>À produire</x:v>
      </x:c>
    </x:row>
    <x:row r="127">
      <x:c r="A127" s="42" t="str">
        <x:v>DB-008</x:v>
      </x:c>
      <x:c r="B127" s="42" t="str">
        <x:v>US-DB-008</x:v>
      </x:c>
      <x:c r="C127" s="42" t="str">
        <x:v>PostgreSQL et données</x:v>
      </x:c>
      <x:c r="D127" s="42" t="str">
        <x:v>Spécifications fonctionnelles CNPM v1.1</x:v>
      </x:c>
      <x:c r="E127" s="42" t="str">
        <x:v>N/A - migration Flyway</x:v>
      </x:c>
      <x:c r="F127" s="42" t="str">
        <x:v>Schémas PostgreSQL</x:v>
      </x:c>
      <x:c r="G127" s="42" t="str">
        <x:v>DATA.ADMIN</x:v>
      </x:c>
      <x:c r="H127" s="42" t="str">
        <x:v>TC-DB-008-NOM</x:v>
      </x:c>
      <x:c r="I127" s="42" t="str">
        <x:v>TC-DB-008-CTRL</x:v>
      </x:c>
      <x:c r="J127" s="42" t="str">
        <x:v>R0 - Fondations</x:v>
      </x:c>
      <x:c r="K127" s="42" t="str">
        <x:v>À produire</x:v>
      </x:c>
    </x:row>
    <x:row r="128">
      <x:c r="A128" s="42" t="str">
        <x:v>DB-009</x:v>
      </x:c>
      <x:c r="B128" s="42" t="str">
        <x:v>US-DB-009</x:v>
      </x:c>
      <x:c r="C128" s="42" t="str">
        <x:v>PostgreSQL et données</x:v>
      </x:c>
      <x:c r="D128" s="42" t="str">
        <x:v>Spécifications fonctionnelles CNPM v1.1</x:v>
      </x:c>
      <x:c r="E128" s="42" t="str">
        <x:v>N/A - migration Flyway</x:v>
      </x:c>
      <x:c r="F128" s="42" t="str">
        <x:v>Schémas PostgreSQL</x:v>
      </x:c>
      <x:c r="G128" s="42" t="str">
        <x:v>DATA.ADMIN</x:v>
      </x:c>
      <x:c r="H128" s="42" t="str">
        <x:v>TC-DB-009-NOM</x:v>
      </x:c>
      <x:c r="I128" s="42" t="str">
        <x:v>TC-DB-009-CTRL</x:v>
      </x:c>
      <x:c r="J128" s="42" t="str">
        <x:v>R0 - Fondations</x:v>
      </x:c>
      <x:c r="K128" s="42" t="str">
        <x:v>À produire</x:v>
      </x:c>
    </x:row>
    <x:row r="129">
      <x:c r="A129" s="42" t="str">
        <x:v>DB-010</x:v>
      </x:c>
      <x:c r="B129" s="42" t="str">
        <x:v>US-DB-010</x:v>
      </x:c>
      <x:c r="C129" s="42" t="str">
        <x:v>PostgreSQL et données</x:v>
      </x:c>
      <x:c r="D129" s="42" t="str">
        <x:v>Spécifications fonctionnelles CNPM v1.1</x:v>
      </x:c>
      <x:c r="E129" s="42" t="str">
        <x:v>N/A - migration Flyway</x:v>
      </x:c>
      <x:c r="F129" s="42" t="str">
        <x:v>Schémas PostgreSQL</x:v>
      </x:c>
      <x:c r="G129" s="42" t="str">
        <x:v>DATA.ADMIN</x:v>
      </x:c>
      <x:c r="H129" s="42" t="str">
        <x:v>TC-DB-010-NOM</x:v>
      </x:c>
      <x:c r="I129" s="42" t="str">
        <x:v>TC-DB-010-CTRL</x:v>
      </x:c>
      <x:c r="J129" s="42" t="str">
        <x:v>R0 - Fondations</x:v>
      </x:c>
      <x:c r="K129" s="42" t="str">
        <x:v>À produire</x:v>
      </x:c>
    </x:row>
    <x:row r="130">
      <x:c r="A130" s="42" t="str">
        <x:v>DB-011</x:v>
      </x:c>
      <x:c r="B130" s="42" t="str">
        <x:v>US-DB-011</x:v>
      </x:c>
      <x:c r="C130" s="42" t="str">
        <x:v>PostgreSQL et données</x:v>
      </x:c>
      <x:c r="D130" s="42" t="str">
        <x:v>Spécifications fonctionnelles CNPM v1.1</x:v>
      </x:c>
      <x:c r="E130" s="42" t="str">
        <x:v>N/A - migration Flyway</x:v>
      </x:c>
      <x:c r="F130" s="42" t="str">
        <x:v>Schémas PostgreSQL</x:v>
      </x:c>
      <x:c r="G130" s="42" t="str">
        <x:v>DATA.ADMIN</x:v>
      </x:c>
      <x:c r="H130" s="42" t="str">
        <x:v>TC-DB-011-NOM</x:v>
      </x:c>
      <x:c r="I130" s="42" t="str">
        <x:v>TC-DB-011-CTRL</x:v>
      </x:c>
      <x:c r="J130" s="42" t="str">
        <x:v>R0 - Fondations</x:v>
      </x:c>
      <x:c r="K130" s="42" t="str">
        <x:v>À produire</x:v>
      </x:c>
    </x:row>
    <x:row r="131">
      <x:c r="A131" s="42" t="str">
        <x:v>DB-012</x:v>
      </x:c>
      <x:c r="B131" s="42" t="str">
        <x:v>US-DB-012</x:v>
      </x:c>
      <x:c r="C131" s="42" t="str">
        <x:v>PostgreSQL et données</x:v>
      </x:c>
      <x:c r="D131" s="42" t="str">
        <x:v>Spécifications fonctionnelles CNPM v1.1</x:v>
      </x:c>
      <x:c r="E131" s="42" t="str">
        <x:v>N/A - migration Flyway</x:v>
      </x:c>
      <x:c r="F131" s="42" t="str">
        <x:v>Schémas PostgreSQL</x:v>
      </x:c>
      <x:c r="G131" s="42" t="str">
        <x:v>DATA.ADMIN</x:v>
      </x:c>
      <x:c r="H131" s="42" t="str">
        <x:v>TC-DB-012-NOM</x:v>
      </x:c>
      <x:c r="I131" s="42" t="str">
        <x:v>TC-DB-012-CTRL</x:v>
      </x:c>
      <x:c r="J131" s="42" t="str">
        <x:v>R0 - Fondations</x:v>
      </x:c>
      <x:c r="K131" s="42" t="str">
        <x:v>À produire</x:v>
      </x:c>
    </x:row>
    <x:row r="132">
      <x:c r="A132" s="42" t="str">
        <x:v>DB-013</x:v>
      </x:c>
      <x:c r="B132" s="42" t="str">
        <x:v>US-DB-013</x:v>
      </x:c>
      <x:c r="C132" s="42" t="str">
        <x:v>PostgreSQL et données</x:v>
      </x:c>
      <x:c r="D132" s="42" t="str">
        <x:v>Spécifications fonctionnelles CNPM v1.1</x:v>
      </x:c>
      <x:c r="E132" s="42" t="str">
        <x:v>N/A - migration Flyway</x:v>
      </x:c>
      <x:c r="F132" s="42" t="str">
        <x:v>Schémas PostgreSQL</x:v>
      </x:c>
      <x:c r="G132" s="42" t="str">
        <x:v>DATA.ADMIN</x:v>
      </x:c>
      <x:c r="H132" s="42" t="str">
        <x:v>TC-DB-013-NOM</x:v>
      </x:c>
      <x:c r="I132" s="42" t="str">
        <x:v>TC-DB-013-CTRL</x:v>
      </x:c>
      <x:c r="J132" s="42" t="str">
        <x:v>R0 - Fondations</x:v>
      </x:c>
      <x:c r="K132" s="42" t="str">
        <x:v>À produire</x:v>
      </x:c>
    </x:row>
    <x:row r="133">
      <x:c r="A133" s="42" t="str">
        <x:v>DB-014</x:v>
      </x:c>
      <x:c r="B133" s="42" t="str">
        <x:v>US-DB-014</x:v>
      </x:c>
      <x:c r="C133" s="42" t="str">
        <x:v>PostgreSQL et données</x:v>
      </x:c>
      <x:c r="D133" s="42" t="str">
        <x:v>Spécifications fonctionnelles CNPM v1.1</x:v>
      </x:c>
      <x:c r="E133" s="42" t="str">
        <x:v>N/A - migration Flyway</x:v>
      </x:c>
      <x:c r="F133" s="42" t="str">
        <x:v>Schémas PostgreSQL</x:v>
      </x:c>
      <x:c r="G133" s="42" t="str">
        <x:v>DATA.ADMIN</x:v>
      </x:c>
      <x:c r="H133" s="42" t="str">
        <x:v>TC-DB-014-NOM</x:v>
      </x:c>
      <x:c r="I133" s="42" t="str">
        <x:v>TC-DB-014-CTRL</x:v>
      </x:c>
      <x:c r="J133" s="42" t="str">
        <x:v>R0 - Fondations</x:v>
      </x:c>
      <x:c r="K133" s="42" t="str">
        <x:v>À produire</x:v>
      </x:c>
    </x:row>
    <x:row r="134">
      <x:c r="A134" s="42" t="str">
        <x:v>DB-015</x:v>
      </x:c>
      <x:c r="B134" s="42" t="str">
        <x:v>US-DB-015</x:v>
      </x:c>
      <x:c r="C134" s="42" t="str">
        <x:v>PostgreSQL et données</x:v>
      </x:c>
      <x:c r="D134" s="42" t="str">
        <x:v>Spécifications fonctionnelles CNPM v1.1</x:v>
      </x:c>
      <x:c r="E134" s="42" t="str">
        <x:v>N/A - migration Flyway</x:v>
      </x:c>
      <x:c r="F134" s="42" t="str">
        <x:v>Schémas PostgreSQL</x:v>
      </x:c>
      <x:c r="G134" s="42" t="str">
        <x:v>DATA.ADMIN</x:v>
      </x:c>
      <x:c r="H134" s="42" t="str">
        <x:v>TC-DB-015-NOM</x:v>
      </x:c>
      <x:c r="I134" s="42" t="str">
        <x:v>TC-DB-015-CTRL</x:v>
      </x:c>
      <x:c r="J134" s="42" t="str">
        <x:v>R0 - Fondations</x:v>
      </x:c>
      <x:c r="K134" s="42" t="str">
        <x:v>À produire</x:v>
      </x:c>
    </x:row>
    <x:row r="135">
      <x:c r="A135" s="42" t="str">
        <x:v>DB-016</x:v>
      </x:c>
      <x:c r="B135" s="42" t="str">
        <x:v>US-DB-016</x:v>
      </x:c>
      <x:c r="C135" s="42" t="str">
        <x:v>PostgreSQL et données</x:v>
      </x:c>
      <x:c r="D135" s="42" t="str">
        <x:v>Spécifications fonctionnelles CNPM v1.1</x:v>
      </x:c>
      <x:c r="E135" s="42" t="str">
        <x:v>N/A - migration Flyway</x:v>
      </x:c>
      <x:c r="F135" s="42" t="str">
        <x:v>Schémas PostgreSQL</x:v>
      </x:c>
      <x:c r="G135" s="42" t="str">
        <x:v>DATA.ADMIN</x:v>
      </x:c>
      <x:c r="H135" s="42" t="str">
        <x:v>TC-DB-016-NOM</x:v>
      </x:c>
      <x:c r="I135" s="42" t="str">
        <x:v>TC-DB-016-CTRL</x:v>
      </x:c>
      <x:c r="J135" s="42" t="str">
        <x:v>R0 - Fondations</x:v>
      </x:c>
      <x:c r="K135" s="42" t="str">
        <x:v>À produire</x:v>
      </x:c>
    </x:row>
    <x:row r="136">
      <x:c r="A136" s="42" t="str">
        <x:v>TEC-001</x:v>
      </x:c>
      <x:c r="B136" s="42" t="str">
        <x:v>US-TEC-001</x:v>
      </x:c>
      <x:c r="C136" s="42" t="str">
        <x:v>Architecture technique et exploitation</x:v>
      </x:c>
      <x:c r="D136" s="42" t="str">
        <x:v>Spécifications fonctionnelles CNPM v1.1</x:v>
      </x:c>
      <x:c r="E136" s="42" t="str">
        <x:v>/actuator / observabilité</x:v>
      </x:c>
      <x:c r="F136" s="42" t="str">
        <x:v>Configuration et observabilité</x:v>
      </x:c>
      <x:c r="G136" s="42" t="str">
        <x:v>OPS.MONITOR.READ</x:v>
      </x:c>
      <x:c r="H136" s="42" t="str">
        <x:v>TC-TEC-001-NOM</x:v>
      </x:c>
      <x:c r="I136" s="42" t="str">
        <x:v>TC-TEC-001-CTRL</x:v>
      </x:c>
      <x:c r="J136" s="42" t="str">
        <x:v>R0 - Fondations</x:v>
      </x:c>
      <x:c r="K136" s="42" t="str">
        <x:v>À produire</x:v>
      </x:c>
    </x:row>
    <x:row r="137">
      <x:c r="A137" s="42" t="str">
        <x:v>TEC-002</x:v>
      </x:c>
      <x:c r="B137" s="42" t="str">
        <x:v>US-TEC-002</x:v>
      </x:c>
      <x:c r="C137" s="42" t="str">
        <x:v>Architecture technique et exploitation</x:v>
      </x:c>
      <x:c r="D137" s="42" t="str">
        <x:v>Spécifications fonctionnelles CNPM v1.1</x:v>
      </x:c>
      <x:c r="E137" s="42" t="str">
        <x:v>/actuator / observabilité</x:v>
      </x:c>
      <x:c r="F137" s="42" t="str">
        <x:v>Configuration et observabilité</x:v>
      </x:c>
      <x:c r="G137" s="42" t="str">
        <x:v>OPS.MONITOR.READ</x:v>
      </x:c>
      <x:c r="H137" s="42" t="str">
        <x:v>TC-TEC-002-NOM</x:v>
      </x:c>
      <x:c r="I137" s="42" t="str">
        <x:v>TC-TEC-002-CTRL</x:v>
      </x:c>
      <x:c r="J137" s="42" t="str">
        <x:v>R0 - Fondations</x:v>
      </x:c>
      <x:c r="K137" s="42" t="str">
        <x:v>À produire</x:v>
      </x:c>
    </x:row>
    <x:row r="138">
      <x:c r="A138" s="42" t="str">
        <x:v>TEC-003</x:v>
      </x:c>
      <x:c r="B138" s="42" t="str">
        <x:v>US-TEC-003</x:v>
      </x:c>
      <x:c r="C138" s="42" t="str">
        <x:v>Architecture technique et exploitation</x:v>
      </x:c>
      <x:c r="D138" s="42" t="str">
        <x:v>Spécifications fonctionnelles CNPM v1.1</x:v>
      </x:c>
      <x:c r="E138" s="42" t="str">
        <x:v>/actuator / observabilité</x:v>
      </x:c>
      <x:c r="F138" s="42" t="str">
        <x:v>Configuration et observabilité</x:v>
      </x:c>
      <x:c r="G138" s="42" t="str">
        <x:v>OPS.MONITOR.READ</x:v>
      </x:c>
      <x:c r="H138" s="42" t="str">
        <x:v>TC-TEC-003-NOM</x:v>
      </x:c>
      <x:c r="I138" s="42" t="str">
        <x:v>TC-TEC-003-CTRL</x:v>
      </x:c>
      <x:c r="J138" s="42" t="str">
        <x:v>R0 - Fondations</x:v>
      </x:c>
      <x:c r="K138" s="42" t="str">
        <x:v>À produire</x:v>
      </x:c>
    </x:row>
    <x:row r="139">
      <x:c r="A139" s="42" t="str">
        <x:v>TEC-004</x:v>
      </x:c>
      <x:c r="B139" s="42" t="str">
        <x:v>US-TEC-004</x:v>
      </x:c>
      <x:c r="C139" s="42" t="str">
        <x:v>Architecture technique et exploitation</x:v>
      </x:c>
      <x:c r="D139" s="42" t="str">
        <x:v>Spécifications fonctionnelles CNPM v1.1</x:v>
      </x:c>
      <x:c r="E139" s="42" t="str">
        <x:v>/actuator / observabilité</x:v>
      </x:c>
      <x:c r="F139" s="42" t="str">
        <x:v>Configuration et observabilité</x:v>
      </x:c>
      <x:c r="G139" s="42" t="str">
        <x:v>OPS.MONITOR.READ</x:v>
      </x:c>
      <x:c r="H139" s="42" t="str">
        <x:v>TC-TEC-004-NOM</x:v>
      </x:c>
      <x:c r="I139" s="42" t="str">
        <x:v>TC-TEC-004-CTRL</x:v>
      </x:c>
      <x:c r="J139" s="42" t="str">
        <x:v>R0 - Fondations</x:v>
      </x:c>
      <x:c r="K139" s="42" t="str">
        <x:v>À produire</x:v>
      </x:c>
    </x:row>
    <x:row r="140">
      <x:c r="A140" s="42" t="str">
        <x:v>TEC-005</x:v>
      </x:c>
      <x:c r="B140" s="42" t="str">
        <x:v>US-TEC-005</x:v>
      </x:c>
      <x:c r="C140" s="42" t="str">
        <x:v>Architecture technique et exploitation</x:v>
      </x:c>
      <x:c r="D140" s="42" t="str">
        <x:v>Spécifications fonctionnelles CNPM v1.1</x:v>
      </x:c>
      <x:c r="E140" s="42" t="str">
        <x:v>/actuator / observabilité</x:v>
      </x:c>
      <x:c r="F140" s="42" t="str">
        <x:v>Configuration et observabilité</x:v>
      </x:c>
      <x:c r="G140" s="42" t="str">
        <x:v>OPS.MONITOR.READ</x:v>
      </x:c>
      <x:c r="H140" s="42" t="str">
        <x:v>TC-TEC-005-NOM</x:v>
      </x:c>
      <x:c r="I140" s="42" t="str">
        <x:v>TC-TEC-005-CTRL</x:v>
      </x:c>
      <x:c r="J140" s="42" t="str">
        <x:v>R0 - Fondations</x:v>
      </x:c>
      <x:c r="K140" s="42" t="str">
        <x:v>À produire</x:v>
      </x:c>
    </x:row>
    <x:row r="141">
      <x:c r="A141" s="42" t="str">
        <x:v>TEC-006</x:v>
      </x:c>
      <x:c r="B141" s="42" t="str">
        <x:v>US-TEC-006</x:v>
      </x:c>
      <x:c r="C141" s="42" t="str">
        <x:v>Architecture technique et exploitation</x:v>
      </x:c>
      <x:c r="D141" s="42" t="str">
        <x:v>Spécifications fonctionnelles CNPM v1.1</x:v>
      </x:c>
      <x:c r="E141" s="42" t="str">
        <x:v>/actuator / observabilité</x:v>
      </x:c>
      <x:c r="F141" s="42" t="str">
        <x:v>Configuration et observabilité</x:v>
      </x:c>
      <x:c r="G141" s="42" t="str">
        <x:v>OPS.MONITOR.READ</x:v>
      </x:c>
      <x:c r="H141" s="42" t="str">
        <x:v>TC-TEC-006-NOM</x:v>
      </x:c>
      <x:c r="I141" s="42" t="str">
        <x:v>TC-TEC-006-CTRL</x:v>
      </x:c>
      <x:c r="J141" s="42" t="str">
        <x:v>R0 - Fondations</x:v>
      </x:c>
      <x:c r="K141" s="42" t="str">
        <x:v>À produire</x:v>
      </x:c>
    </x:row>
    <x:row r="142">
      <x:c r="A142" s="42" t="str">
        <x:v>TEC-007</x:v>
      </x:c>
      <x:c r="B142" s="42" t="str">
        <x:v>US-TEC-007</x:v>
      </x:c>
      <x:c r="C142" s="42" t="str">
        <x:v>Architecture technique et exploitation</x:v>
      </x:c>
      <x:c r="D142" s="42" t="str">
        <x:v>Spécifications fonctionnelles CNPM v1.1</x:v>
      </x:c>
      <x:c r="E142" s="42" t="str">
        <x:v>/actuator / observabilité</x:v>
      </x:c>
      <x:c r="F142" s="42" t="str">
        <x:v>Configuration et observabilité</x:v>
      </x:c>
      <x:c r="G142" s="42" t="str">
        <x:v>OPS.MONITOR.READ</x:v>
      </x:c>
      <x:c r="H142" s="42" t="str">
        <x:v>TC-TEC-007-NOM</x:v>
      </x:c>
      <x:c r="I142" s="42" t="str">
        <x:v>TC-TEC-007-CTRL</x:v>
      </x:c>
      <x:c r="J142" s="42" t="str">
        <x:v>R0 - Fondations</x:v>
      </x:c>
      <x:c r="K142" s="42" t="str">
        <x:v>À produire</x:v>
      </x:c>
    </x:row>
    <x:row r="143">
      <x:c r="A143" s="42" t="str">
        <x:v>TEC-008</x:v>
      </x:c>
      <x:c r="B143" s="42" t="str">
        <x:v>US-TEC-008</x:v>
      </x:c>
      <x:c r="C143" s="42" t="str">
        <x:v>Architecture technique et exploitation</x:v>
      </x:c>
      <x:c r="D143" s="42" t="str">
        <x:v>Spécifications fonctionnelles CNPM v1.1</x:v>
      </x:c>
      <x:c r="E143" s="42" t="str">
        <x:v>/actuator / observabilité</x:v>
      </x:c>
      <x:c r="F143" s="42" t="str">
        <x:v>Configuration et observabilité</x:v>
      </x:c>
      <x:c r="G143" s="42" t="str">
        <x:v>OPS.MONITOR.READ</x:v>
      </x:c>
      <x:c r="H143" s="42" t="str">
        <x:v>TC-TEC-008-NOM</x:v>
      </x:c>
      <x:c r="I143" s="42" t="str">
        <x:v>TC-TEC-008-CTRL</x:v>
      </x:c>
      <x:c r="J143" s="42" t="str">
        <x:v>R0 - Fondations</x:v>
      </x:c>
      <x:c r="K143" s="42" t="str">
        <x:v>À produire</x:v>
      </x:c>
    </x:row>
    <x:row r="144">
      <x:c r="A144" s="42" t="str">
        <x:v>TEC-009</x:v>
      </x:c>
      <x:c r="B144" s="42" t="str">
        <x:v>US-TEC-009</x:v>
      </x:c>
      <x:c r="C144" s="42" t="str">
        <x:v>Architecture technique et exploitation</x:v>
      </x:c>
      <x:c r="D144" s="42" t="str">
        <x:v>Spécifications fonctionnelles CNPM v1.1</x:v>
      </x:c>
      <x:c r="E144" s="42" t="str">
        <x:v>/actuator / observabilité</x:v>
      </x:c>
      <x:c r="F144" s="42" t="str">
        <x:v>Configuration et observabilité</x:v>
      </x:c>
      <x:c r="G144" s="42" t="str">
        <x:v>OPS.MONITOR.READ</x:v>
      </x:c>
      <x:c r="H144" s="42" t="str">
        <x:v>TC-TEC-009-NOM</x:v>
      </x:c>
      <x:c r="I144" s="42" t="str">
        <x:v>TC-TEC-009-CTRL</x:v>
      </x:c>
      <x:c r="J144" s="42" t="str">
        <x:v>R0 - Fondations</x:v>
      </x:c>
      <x:c r="K144" s="42" t="str">
        <x:v>À produire</x:v>
      </x:c>
    </x:row>
    <x:row r="145">
      <x:c r="A145" s="42" t="str">
        <x:v>TEC-010</x:v>
      </x:c>
      <x:c r="B145" s="42" t="str">
        <x:v>US-TEC-010</x:v>
      </x:c>
      <x:c r="C145" s="42" t="str">
        <x:v>Architecture technique et exploitation</x:v>
      </x:c>
      <x:c r="D145" s="42" t="str">
        <x:v>Spécifications fonctionnelles CNPM v1.1</x:v>
      </x:c>
      <x:c r="E145" s="42" t="str">
        <x:v>/actuator / observabilité</x:v>
      </x:c>
      <x:c r="F145" s="42" t="str">
        <x:v>Configuration et observabilité</x:v>
      </x:c>
      <x:c r="G145" s="42" t="str">
        <x:v>OPS.MONITOR.READ</x:v>
      </x:c>
      <x:c r="H145" s="42" t="str">
        <x:v>TC-TEC-010-NOM</x:v>
      </x:c>
      <x:c r="I145" s="42" t="str">
        <x:v>TC-TEC-010-CTRL</x:v>
      </x:c>
      <x:c r="J145" s="42" t="str">
        <x:v>R0 - Fondations</x:v>
      </x:c>
      <x:c r="K145" s="42" t="str">
        <x:v>À produire</x:v>
      </x:c>
    </x:row>
    <x:row r="146">
      <x:c r="A146" s="42" t="str">
        <x:v>TEC-011</x:v>
      </x:c>
      <x:c r="B146" s="42" t="str">
        <x:v>US-TEC-011</x:v>
      </x:c>
      <x:c r="C146" s="42" t="str">
        <x:v>Architecture technique et exploitation</x:v>
      </x:c>
      <x:c r="D146" s="42" t="str">
        <x:v>Spécifications fonctionnelles CNPM v1.1</x:v>
      </x:c>
      <x:c r="E146" s="42" t="str">
        <x:v>/actuator / observabilité</x:v>
      </x:c>
      <x:c r="F146" s="42" t="str">
        <x:v>Configuration et observabilité</x:v>
      </x:c>
      <x:c r="G146" s="42" t="str">
        <x:v>OPS.MONITOR.READ</x:v>
      </x:c>
      <x:c r="H146" s="42" t="str">
        <x:v>TC-TEC-011-NOM</x:v>
      </x:c>
      <x:c r="I146" s="42" t="str">
        <x:v>TC-TEC-011-CTRL</x:v>
      </x:c>
      <x:c r="J146" s="42" t="str">
        <x:v>R0 - Fondations</x:v>
      </x:c>
      <x:c r="K146" s="42" t="str">
        <x:v>À produire</x:v>
      </x:c>
    </x:row>
    <x:row r="147">
      <x:c r="A147" s="42" t="str">
        <x:v>TEC-012</x:v>
      </x:c>
      <x:c r="B147" s="42" t="str">
        <x:v>US-TEC-012</x:v>
      </x:c>
      <x:c r="C147" s="42" t="str">
        <x:v>Architecture technique et exploitation</x:v>
      </x:c>
      <x:c r="D147" s="42" t="str">
        <x:v>Spécifications fonctionnelles CNPM v1.1</x:v>
      </x:c>
      <x:c r="E147" s="42" t="str">
        <x:v>/actuator / observabilité</x:v>
      </x:c>
      <x:c r="F147" s="42" t="str">
        <x:v>Configuration et observabilité</x:v>
      </x:c>
      <x:c r="G147" s="42" t="str">
        <x:v>OPS.MONITOR.READ</x:v>
      </x:c>
      <x:c r="H147" s="42" t="str">
        <x:v>TC-TEC-012-NOM</x:v>
      </x:c>
      <x:c r="I147" s="42" t="str">
        <x:v>TC-TEC-012-CTRL</x:v>
      </x:c>
      <x:c r="J147" s="42" t="str">
        <x:v>R0 - Fondations</x:v>
      </x:c>
      <x:c r="K147" s="42" t="str">
        <x:v>À produire</x:v>
      </x:c>
    </x:row>
  </x:sheetData>
  <x:mergeCells>
    <x:mergeCell ref="A1:K1"/>
    <x:mergeCell ref="A2:K2"/>
  </x:mergeCells>
  <x:dataValidations count="1">
    <x:dataValidation type="list" sqref="K4:K147">
      <x:formula1>"À produire,Partielle,Complète,Non applicable"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6" hidden="0" customWidth="1"/>
    <x:col min="4" max="4" width="28" hidden="0" customWidth="1"/>
    <x:col min="5" max="5" width="20" hidden="0" customWidth="1"/>
    <x:col min="6" max="6" width="38" hidden="0" customWidth="1"/>
    <x:col min="7" max="7" width="68" hidden="0" customWidth="1"/>
    <x:col min="8" max="8" width="62" hidden="0" customWidth="1"/>
    <x:col min="9" max="9" width="12" hidden="0" customWidth="1"/>
    <x:col min="10" max="10" width="24" hidden="0" customWidth="1"/>
    <x:col min="11" max="11" width="16" hidden="0" customWidth="1"/>
    <x:col min="12" max="12" width="16" hidden="0" customWidth="1"/>
    <x:col min="13" max="13" width="30" hidden="0" customWidth="1"/>
  </x:cols>
  <x:sheetData>
    <x:row r="1" ht="30" customHeight="1">
      <x:c r="A1" s="4" t="str">
        <x:v>Cas de recette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8" customHeight="1">
      <x:c r="A2" s="10" t="str">
        <x:v>Jeux de tests minimum : nominal et contrôle par exigence, scénario critique par exigence sensible et un test dédié par règle métier transversale.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 ht="30" customHeight="1">
      <x:c r="A3" s="37" t="str">
        <x:v>ID Test</x:v>
      </x:c>
      <x:c r="B3" s="37" t="str">
        <x:v>ID Exigence</x:v>
      </x:c>
      <x:c r="C3" s="37" t="str">
        <x:v>ID Story</x:v>
      </x:c>
      <x:c r="D3" s="37" t="str">
        <x:v>Module</x:v>
      </x:c>
      <x:c r="E3" s="37" t="str">
        <x:v>Type</x:v>
      </x:c>
      <x:c r="F3" s="37" t="str">
        <x:v>Préconditions</x:v>
      </x:c>
      <x:c r="G3" s="37" t="str">
        <x:v>Étapes</x:v>
      </x:c>
      <x:c r="H3" s="37" t="str">
        <x:v>Résultat attendu</x:v>
      </x:c>
      <x:c r="I3" s="37" t="str">
        <x:v>Priorité</x:v>
      </x:c>
      <x:c r="J3" s="37" t="str">
        <x:v>Jeu de données</x:v>
      </x:c>
      <x:c r="K3" s="37" t="str">
        <x:v>Automatisation</x:v>
      </x:c>
      <x:c r="L3" s="37" t="str">
        <x:v>Statut</x:v>
      </x:c>
      <x:c r="M3" s="37" t="str">
        <x:v>Preuve</x:v>
      </x:c>
    </x:row>
    <x:row r="4">
      <x:c r="A4" s="42" t="str">
        <x:v>TC-ADM-001-NOM</x:v>
      </x:c>
      <x:c r="B4" s="42" t="str">
        <x:v>ADM-001</x:v>
      </x:c>
      <x:c r="C4" s="42" t="str">
        <x:v>US-ADM-001</x:v>
      </x:c>
      <x:c r="D4" s="42" t="str">
        <x:v>Administration et paramétrage</x:v>
      </x:c>
      <x:c r="E4" s="42" t="str">
        <x:v>Nominal</x:v>
      </x:c>
      <x:c r="F4" s="42" t="str">
        <x:v>Utilisateur authentifié, autorisé et données valides.</x:v>
      </x:c>
      <x:c r="G4" s="42" t="str">
        <x:v>1. Préparer les données. 2. Exécuter : Créer, modifier, désactiver et historiser chaque valeur de référentiel. 3. Consulter le résultat et l’audit.</x:v>
      </x:c>
      <x:c r="H4" s="42" t="str">
        <x:v>Toute modification conserve auteur, date, ancienne et nouvelle valeur.</x:v>
      </x:c>
      <x:c r="I4" s="42" t="str">
        <x:v>Critique</x:v>
      </x:c>
      <x:c r="J4" s="42" t="str">
        <x:v>Synthétique valide</x:v>
      </x:c>
      <x:c r="K4" s="42" t="str">
        <x:v>À automatiser</x:v>
      </x:c>
      <x:c r="L4" s="42" t="str">
        <x:v>Non exécuté</x:v>
      </x:c>
      <x:c r="M4" s="42" t="str"/>
    </x:row>
    <x:row r="5">
      <x:c r="A5" s="42" t="str">
        <x:v>TC-ADM-001-CTRL</x:v>
      </x:c>
      <x:c r="B5" s="42" t="str">
        <x:v>ADM-001</x:v>
      </x:c>
      <x:c r="C5" s="42" t="str">
        <x:v>US-ADM-001</x:v>
      </x:c>
      <x:c r="D5" s="42" t="str">
        <x:v>Administration et paramétrage</x:v>
      </x:c>
      <x:c r="E5" s="42" t="str">
        <x:v>Contrôle négatif</x:v>
      </x:c>
      <x:c r="F5" s="42" t="str">
        <x:v>Utilisateur non autorisé ou donnée invalide.</x:v>
      </x:c>
      <x:c r="G5" s="42" t="str">
        <x:v>1. Préparer un cas invalide. 2. Tenter l’opération. 3. Vérifier refus, message et absence d’effet secondaire.</x:v>
      </x:c>
      <x:c r="H5" s="42" t="str">
        <x:v>L’opération est refusée de manière sûre, sans altération des données, avec erreur corrélée et audit si applicable.</x:v>
      </x:c>
      <x:c r="I5" s="42" t="str">
        <x:v>Haute</x:v>
      </x:c>
      <x:c r="J5" s="42" t="str">
        <x:v>Synthétique invalide</x:v>
      </x:c>
      <x:c r="K5" s="42" t="str">
        <x:v>À automatiser</x:v>
      </x:c>
      <x:c r="L5" s="42" t="str">
        <x:v>Non exécuté</x:v>
      </x:c>
      <x:c r="M5" s="42" t="str"/>
    </x:row>
    <x:row r="6">
      <x:c r="A6" s="42" t="str">
        <x:v>TC-ADM-002-NOM</x:v>
      </x:c>
      <x:c r="B6" s="42" t="str">
        <x:v>ADM-002</x:v>
      </x:c>
      <x:c r="C6" s="42" t="str">
        <x:v>US-ADM-002</x:v>
      </x:c>
      <x:c r="D6" s="42" t="str">
        <x:v>Administration et paramétrage</x:v>
      </x:c>
      <x:c r="E6" s="42" t="str">
        <x:v>Nominal</x:v>
      </x:c>
      <x:c r="F6" s="42" t="str">
        <x:v>Utilisateur authentifié, autorisé et données valides.</x:v>
      </x:c>
      <x:c r="G6" s="42" t="str">
        <x:v>1. Préparer les données. 2. Exécuter : Soumettre les changements sensibles à validation à quatre yeux. 3. Consulter le résultat et l’audit.</x:v>
      </x:c>
      <x:c r="H6" s="42" t="str">
        <x:v>Aucune règle financière publiée sans second valideur.</x:v>
      </x:c>
      <x:c r="I6" s="42" t="str">
        <x:v>Critique</x:v>
      </x:c>
      <x:c r="J6" s="42" t="str">
        <x:v>Synthétique valide</x:v>
      </x:c>
      <x:c r="K6" s="42" t="str">
        <x:v>À automatiser</x:v>
      </x:c>
      <x:c r="L6" s="42" t="str">
        <x:v>Non exécuté</x:v>
      </x:c>
      <x:c r="M6" s="42" t="str"/>
    </x:row>
    <x:row r="7">
      <x:c r="A7" s="42" t="str">
        <x:v>TC-ADM-002-CTRL</x:v>
      </x:c>
      <x:c r="B7" s="42" t="str">
        <x:v>ADM-002</x:v>
      </x:c>
      <x:c r="C7" s="42" t="str">
        <x:v>US-ADM-002</x:v>
      </x:c>
      <x:c r="D7" s="42" t="str">
        <x:v>Administration et paramétrage</x:v>
      </x:c>
      <x:c r="E7" s="42" t="str">
        <x:v>Contrôle négatif</x:v>
      </x:c>
      <x:c r="F7" s="42" t="str">
        <x:v>Utilisateur non autorisé ou donnée invalide.</x:v>
      </x:c>
      <x:c r="G7" s="42" t="str">
        <x:v>1. Préparer un cas invalide. 2. Tenter l’opération. 3. Vérifier refus, message et absence d’effet secondaire.</x:v>
      </x:c>
      <x:c r="H7" s="42" t="str">
        <x:v>L’opération est refusée de manière sûre, sans altération des données, avec erreur corrélée et audit si applicable.</x:v>
      </x:c>
      <x:c r="I7" s="42" t="str">
        <x:v>Haute</x:v>
      </x:c>
      <x:c r="J7" s="42" t="str">
        <x:v>Synthétique invalide</x:v>
      </x:c>
      <x:c r="K7" s="42" t="str">
        <x:v>À automatiser</x:v>
      </x:c>
      <x:c r="L7" s="42" t="str">
        <x:v>Non exécuté</x:v>
      </x:c>
      <x:c r="M7" s="42" t="str"/>
    </x:row>
    <x:row r="8">
      <x:c r="A8" s="42" t="str">
        <x:v>TC-ADM-003-NOM</x:v>
      </x:c>
      <x:c r="B8" s="42" t="str">
        <x:v>ADM-003</x:v>
      </x:c>
      <x:c r="C8" s="42" t="str">
        <x:v>US-ADM-003</x:v>
      </x:c>
      <x:c r="D8" s="42" t="str">
        <x:v>Administration et paramétrage</x:v>
      </x:c>
      <x:c r="E8" s="42" t="str">
        <x:v>Nominal</x:v>
      </x:c>
      <x:c r="F8" s="42" t="str">
        <x:v>Utilisateur authentifié, autorisé et données valides.</x:v>
      </x:c>
      <x:c r="G8" s="42" t="str">
        <x:v>1. Préparer les données. 2. Exécuter : Importer/exporter les référentiels en Excel avec contrôle de format. 3. Consulter le résultat et l’audit.</x:v>
      </x:c>
      <x:c r="H8" s="42" t="str">
        <x:v>Rapport d’erreurs ligne par ligne disponible.</x:v>
      </x:c>
      <x:c r="I8" s="42" t="str">
        <x:v>Haute</x:v>
      </x:c>
      <x:c r="J8" s="42" t="str">
        <x:v>Synthétique valide</x:v>
      </x:c>
      <x:c r="K8" s="42" t="str">
        <x:v>À automatiser</x:v>
      </x:c>
      <x:c r="L8" s="42" t="str">
        <x:v>Non exécuté</x:v>
      </x:c>
      <x:c r="M8" s="42" t="str"/>
    </x:row>
    <x:row r="9">
      <x:c r="A9" s="42" t="str">
        <x:v>TC-ADM-003-CTRL</x:v>
      </x:c>
      <x:c r="B9" s="42" t="str">
        <x:v>ADM-003</x:v>
      </x:c>
      <x:c r="C9" s="42" t="str">
        <x:v>US-ADM-003</x:v>
      </x:c>
      <x:c r="D9" s="42" t="str">
        <x:v>Administration et paramétrage</x:v>
      </x:c>
      <x:c r="E9" s="42" t="str">
        <x:v>Contrôle négatif</x:v>
      </x:c>
      <x:c r="F9" s="42" t="str">
        <x:v>Utilisateur non autorisé ou donnée invalide.</x:v>
      </x:c>
      <x:c r="G9" s="42" t="str">
        <x:v>1. Préparer un cas invalide. 2. Tenter l’opération. 3. Vérifier refus, message et absence d’effet secondaire.</x:v>
      </x:c>
      <x:c r="H9" s="42" t="str">
        <x:v>L’opération est refusée de manière sûre, sans altération des données, avec erreur corrélée et audit si applicable.</x:v>
      </x:c>
      <x:c r="I9" s="42" t="str">
        <x:v>Haute</x:v>
      </x:c>
      <x:c r="J9" s="42" t="str">
        <x:v>Synthétique invalide</x:v>
      </x:c>
      <x:c r="K9" s="42" t="str">
        <x:v>À automatiser</x:v>
      </x:c>
      <x:c r="L9" s="42" t="str">
        <x:v>Non exécuté</x:v>
      </x:c>
      <x:c r="M9" s="42" t="str"/>
    </x:row>
    <x:row r="10">
      <x:c r="A10" s="42" t="str">
        <x:v>TC-ADM-004-NOM</x:v>
      </x:c>
      <x:c r="B10" s="42" t="str">
        <x:v>ADM-004</x:v>
      </x:c>
      <x:c r="C10" s="42" t="str">
        <x:v>US-ADM-004</x:v>
      </x:c>
      <x:c r="D10" s="42" t="str">
        <x:v>Administration et paramétrage</x:v>
      </x:c>
      <x:c r="E10" s="42" t="str">
        <x:v>Nominal</x:v>
      </x:c>
      <x:c r="F10" s="42" t="str">
        <x:v>Utilisateur authentifié, autorisé et données valides.</x:v>
      </x:c>
      <x:c r="G10" s="42" t="str">
        <x:v>1. Préparer les données. 2. Exécuter : Versionner les barèmes et empêcher les modifications rétroactives non autorisées. 3. Consulter le résultat et l’audit.</x:v>
      </x:c>
      <x:c r="H10" s="42" t="str">
        <x:v>Une version publiée est immutable; une correction crée une nouvelle version.</x:v>
      </x:c>
      <x:c r="I10" s="42" t="str">
        <x:v>Critique</x:v>
      </x:c>
      <x:c r="J10" s="42" t="str">
        <x:v>Synthétique valide</x:v>
      </x:c>
      <x:c r="K10" s="42" t="str">
        <x:v>À automatiser</x:v>
      </x:c>
      <x:c r="L10" s="42" t="str">
        <x:v>Non exécuté</x:v>
      </x:c>
      <x:c r="M10" s="42" t="str"/>
    </x:row>
    <x:row r="11">
      <x:c r="A11" s="42" t="str">
        <x:v>TC-ADM-004-CTRL</x:v>
      </x:c>
      <x:c r="B11" s="42" t="str">
        <x:v>ADM-004</x:v>
      </x:c>
      <x:c r="C11" s="42" t="str">
        <x:v>US-ADM-004</x:v>
      </x:c>
      <x:c r="D11" s="42" t="str">
        <x:v>Administration et paramétrage</x:v>
      </x:c>
      <x:c r="E11" s="42" t="str">
        <x:v>Contrôle négatif</x:v>
      </x:c>
      <x:c r="F11" s="42" t="str">
        <x:v>Utilisateur non autorisé ou donnée invalide.</x:v>
      </x:c>
      <x:c r="G11" s="42" t="str">
        <x:v>1. Préparer un cas invalide. 2. Tenter l’opération. 3. Vérifier refus, message et absence d’effet secondaire.</x:v>
      </x:c>
      <x:c r="H11" s="42" t="str">
        <x:v>L’opération est refusée de manière sûre, sans altération des données, avec erreur corrélée et audit si applicable.</x:v>
      </x:c>
      <x:c r="I11" s="42" t="str">
        <x:v>Haute</x:v>
      </x:c>
      <x:c r="J11" s="42" t="str">
        <x:v>Synthétique invalide</x:v>
      </x:c>
      <x:c r="K11" s="42" t="str">
        <x:v>À automatiser</x:v>
      </x:c>
      <x:c r="L11" s="42" t="str">
        <x:v>Non exécuté</x:v>
      </x:c>
      <x:c r="M11" s="42" t="str"/>
    </x:row>
    <x:row r="12">
      <x:c r="A12" s="42" t="str">
        <x:v>TC-ADM-005-NOM</x:v>
      </x:c>
      <x:c r="B12" s="42" t="str">
        <x:v>ADM-005</x:v>
      </x:c>
      <x:c r="C12" s="42" t="str">
        <x:v>US-ADM-005</x:v>
      </x:c>
      <x:c r="D12" s="42" t="str">
        <x:v>Administration et paramétrage</x:v>
      </x:c>
      <x:c r="E12" s="42" t="str">
        <x:v>Nominal</x:v>
      </x:c>
      <x:c r="F12" s="42" t="str">
        <x:v>Utilisateur authentifié, autorisé et données valides.</x:v>
      </x:c>
      <x:c r="G12" s="42" t="str">
        <x:v>1. Préparer les données. 2. Exécuter : Simuler l’impact d’un nouveau barème avant publication. 3. Consulter le résultat et l’audit.</x:v>
      </x:c>
      <x:c r="H12" s="42" t="str">
        <x:v>Le système calcule le montant projeté sur la base active.</x:v>
      </x:c>
      <x:c r="I12" s="42" t="str">
        <x:v>Haute</x:v>
      </x:c>
      <x:c r="J12" s="42" t="str">
        <x:v>Synthétique valide</x:v>
      </x:c>
      <x:c r="K12" s="42" t="str">
        <x:v>À automatiser</x:v>
      </x:c>
      <x:c r="L12" s="42" t="str">
        <x:v>Non exécuté</x:v>
      </x:c>
      <x:c r="M12" s="42" t="str"/>
    </x:row>
    <x:row r="13">
      <x:c r="A13" s="42" t="str">
        <x:v>TC-ADM-005-CTRL</x:v>
      </x:c>
      <x:c r="B13" s="42" t="str">
        <x:v>ADM-005</x:v>
      </x:c>
      <x:c r="C13" s="42" t="str">
        <x:v>US-ADM-005</x:v>
      </x:c>
      <x:c r="D13" s="42" t="str">
        <x:v>Administration et paramétrage</x:v>
      </x:c>
      <x:c r="E13" s="42" t="str">
        <x:v>Contrôle négatif</x:v>
      </x:c>
      <x:c r="F13" s="42" t="str">
        <x:v>Utilisateur non autorisé ou donnée invalide.</x:v>
      </x:c>
      <x:c r="G13" s="42" t="str">
        <x:v>1. Préparer un cas invalide. 2. Tenter l’opération. 3. Vérifier refus, message et absence d’effet secondaire.</x:v>
      </x:c>
      <x:c r="H13" s="42" t="str">
        <x:v>L’opération est refusée de manière sûre, sans altération des données, avec erreur corrélée et audit si applicable.</x:v>
      </x:c>
      <x:c r="I13" s="42" t="str">
        <x:v>Haute</x:v>
      </x:c>
      <x:c r="J13" s="42" t="str">
        <x:v>Synthétique invalide</x:v>
      </x:c>
      <x:c r="K13" s="42" t="str">
        <x:v>À automatiser</x:v>
      </x:c>
      <x:c r="L13" s="42" t="str">
        <x:v>Non exécuté</x:v>
      </x:c>
      <x:c r="M13" s="42" t="str"/>
    </x:row>
    <x:row r="14">
      <x:c r="A14" s="42" t="str">
        <x:v>TC-MEM-001-NOM</x:v>
      </x:c>
      <x:c r="B14" s="42" t="str">
        <x:v>MEM-001</x:v>
      </x:c>
      <x:c r="C14" s="42" t="str">
        <x:v>US-MEM-001</x:v>
      </x:c>
      <x:c r="D14" s="42" t="str">
        <x:v>Membres et entreprises</x:v>
      </x:c>
      <x:c r="E14" s="42" t="str">
        <x:v>Nominal</x:v>
      </x:c>
      <x:c r="F14" s="42" t="str">
        <x:v>Utilisateur authentifié, autorisé et données valides.</x:v>
      </x:c>
      <x:c r="G14" s="42" t="str">
        <x:v>1. Préparer les données. 2. Exécuter : Attribuer un identifiant CNPM unique non réutilisable. 3. Consulter le résultat et l’audit.</x:v>
      </x:c>
      <x:c r="H14" s="42" t="str">
        <x:v>Deux comptes ne peuvent partager le même identifiant.</x:v>
      </x:c>
      <x:c r="I14" s="42" t="str">
        <x:v>Critique</x:v>
      </x:c>
      <x:c r="J14" s="42" t="str">
        <x:v>Synthétique valide</x:v>
      </x:c>
      <x:c r="K14" s="42" t="str">
        <x:v>À automatiser</x:v>
      </x:c>
      <x:c r="L14" s="42" t="str">
        <x:v>Non exécuté</x:v>
      </x:c>
      <x:c r="M14" s="42" t="str"/>
    </x:row>
    <x:row r="15">
      <x:c r="A15" s="42" t="str">
        <x:v>TC-MEM-001-CTRL</x:v>
      </x:c>
      <x:c r="B15" s="42" t="str">
        <x:v>MEM-001</x:v>
      </x:c>
      <x:c r="C15" s="42" t="str">
        <x:v>US-MEM-001</x:v>
      </x:c>
      <x:c r="D15" s="42" t="str">
        <x:v>Membres et entreprises</x:v>
      </x:c>
      <x:c r="E15" s="42" t="str">
        <x:v>Contrôle négatif</x:v>
      </x:c>
      <x:c r="F15" s="42" t="str">
        <x:v>Utilisateur non autorisé ou donnée invalide.</x:v>
      </x:c>
      <x:c r="G15" s="42" t="str">
        <x:v>1. Préparer un cas invalide. 2. Tenter l’opération. 3. Vérifier refus, message et absence d’effet secondaire.</x:v>
      </x:c>
      <x:c r="H15" s="42" t="str">
        <x:v>L’opération est refusée de manière sûre, sans altération des données, avec erreur corrélée et audit si applicable.</x:v>
      </x:c>
      <x:c r="I15" s="42" t="str">
        <x:v>Haute</x:v>
      </x:c>
      <x:c r="J15" s="42" t="str">
        <x:v>Synthétique invalide</x:v>
      </x:c>
      <x:c r="K15" s="42" t="str">
        <x:v>À automatiser</x:v>
      </x:c>
      <x:c r="L15" s="42" t="str">
        <x:v>Non exécuté</x:v>
      </x:c>
      <x:c r="M15" s="42" t="str"/>
    </x:row>
    <x:row r="16">
      <x:c r="A16" s="42" t="str">
        <x:v>TC-MEM-002-NOM</x:v>
      </x:c>
      <x:c r="B16" s="42" t="str">
        <x:v>MEM-002</x:v>
      </x:c>
      <x:c r="C16" s="42" t="str">
        <x:v>US-MEM-002</x:v>
      </x:c>
      <x:c r="D16" s="42" t="str">
        <x:v>Membres et entreprises</x:v>
      </x:c>
      <x:c r="E16" s="42" t="str">
        <x:v>Nominal</x:v>
      </x:c>
      <x:c r="F16" s="42" t="str">
        <x:v>Utilisateur authentifié, autorisé et données valides.</x:v>
      </x:c>
      <x:c r="G16" s="42" t="str">
        <x:v>1. Préparer les données. 2. Exécuter : Détecter les doublons par NIF, RCCM, raison sociale, téléphone et e-mail. 3. Consulter le résultat et l’audit.</x:v>
      </x:c>
      <x:c r="H16" s="42" t="str">
        <x:v>Le système bloque ou soumet à arbitrage selon le score de similarité.</x:v>
      </x:c>
      <x:c r="I16" s="42" t="str">
        <x:v>Critique</x:v>
      </x:c>
      <x:c r="J16" s="42" t="str">
        <x:v>Synthétique valide</x:v>
      </x:c>
      <x:c r="K16" s="42" t="str">
        <x:v>À automatiser</x:v>
      </x:c>
      <x:c r="L16" s="42" t="str">
        <x:v>Non exécuté</x:v>
      </x:c>
      <x:c r="M16" s="42" t="str"/>
    </x:row>
    <x:row r="17">
      <x:c r="A17" s="42" t="str">
        <x:v>TC-MEM-002-CTRL</x:v>
      </x:c>
      <x:c r="B17" s="42" t="str">
        <x:v>MEM-002</x:v>
      </x:c>
      <x:c r="C17" s="42" t="str">
        <x:v>US-MEM-002</x:v>
      </x:c>
      <x:c r="D17" s="42" t="str">
        <x:v>Membres et entreprises</x:v>
      </x:c>
      <x:c r="E17" s="42" t="str">
        <x:v>Contrôle négatif</x:v>
      </x:c>
      <x:c r="F17" s="42" t="str">
        <x:v>Utilisateur non autorisé ou donnée invalide.</x:v>
      </x:c>
      <x:c r="G17" s="42" t="str">
        <x:v>1. Préparer un cas invalide. 2. Tenter l’opération. 3. Vérifier refus, message et absence d’effet secondaire.</x:v>
      </x:c>
      <x:c r="H17" s="42" t="str">
        <x:v>L’opération est refusée de manière sûre, sans altération des données, avec erreur corrélée et audit si applicable.</x:v>
      </x:c>
      <x:c r="I17" s="42" t="str">
        <x:v>Haute</x:v>
      </x:c>
      <x:c r="J17" s="42" t="str">
        <x:v>Synthétique invalide</x:v>
      </x:c>
      <x:c r="K17" s="42" t="str">
        <x:v>À automatiser</x:v>
      </x:c>
      <x:c r="L17" s="42" t="str">
        <x:v>Non exécuté</x:v>
      </x:c>
      <x:c r="M17" s="42" t="str"/>
    </x:row>
    <x:row r="18">
      <x:c r="A18" s="42" t="str">
        <x:v>TC-MEM-003-NOM</x:v>
      </x:c>
      <x:c r="B18" s="42" t="str">
        <x:v>MEM-003</x:v>
      </x:c>
      <x:c r="C18" s="42" t="str">
        <x:v>US-MEM-003</x:v>
      </x:c>
      <x:c r="D18" s="42" t="str">
        <x:v>Membres et entreprises</x:v>
      </x:c>
      <x:c r="E18" s="42" t="str">
        <x:v>Nominal</x:v>
      </x:c>
      <x:c r="F18" s="42" t="str">
        <x:v>Utilisateur authentifié, autorisé et données valides.</x:v>
      </x:c>
      <x:c r="G18" s="42" t="str">
        <x:v>1. Préparer les données. 2. Exécuter : Gérer plusieurs établissements et plusieurs contacts par entreprise. 3. Consulter le résultat et l’audit.</x:v>
      </x:c>
      <x:c r="H18" s="42" t="str">
        <x:v>Un contact principal et un contact financier sont identifiables.</x:v>
      </x:c>
      <x:c r="I18" s="42" t="str">
        <x:v>Critique</x:v>
      </x:c>
      <x:c r="J18" s="42" t="str">
        <x:v>Synthétique valide</x:v>
      </x:c>
      <x:c r="K18" s="42" t="str">
        <x:v>À automatiser</x:v>
      </x:c>
      <x:c r="L18" s="42" t="str">
        <x:v>Non exécuté</x:v>
      </x:c>
      <x:c r="M18" s="42" t="str"/>
    </x:row>
    <x:row r="19">
      <x:c r="A19" s="42" t="str">
        <x:v>TC-MEM-003-CTRL</x:v>
      </x:c>
      <x:c r="B19" s="42" t="str">
        <x:v>MEM-003</x:v>
      </x:c>
      <x:c r="C19" s="42" t="str">
        <x:v>US-MEM-003</x:v>
      </x:c>
      <x:c r="D19" s="42" t="str">
        <x:v>Membres et entreprises</x:v>
      </x:c>
      <x:c r="E19" s="42" t="str">
        <x:v>Contrôle négatif</x:v>
      </x:c>
      <x:c r="F19" s="42" t="str">
        <x:v>Utilisateur non autorisé ou donnée invalide.</x:v>
      </x:c>
      <x:c r="G19" s="42" t="str">
        <x:v>1. Préparer un cas invalide. 2. Tenter l’opération. 3. Vérifier refus, message et absence d’effet secondaire.</x:v>
      </x:c>
      <x:c r="H19" s="42" t="str">
        <x:v>L’opération est refusée de manière sûre, sans altération des données, avec erreur corrélée et audit si applicable.</x:v>
      </x:c>
      <x:c r="I19" s="42" t="str">
        <x:v>Haute</x:v>
      </x:c>
      <x:c r="J19" s="42" t="str">
        <x:v>Synthétique invalide</x:v>
      </x:c>
      <x:c r="K19" s="42" t="str">
        <x:v>À automatiser</x:v>
      </x:c>
      <x:c r="L19" s="42" t="str">
        <x:v>Non exécuté</x:v>
      </x:c>
      <x:c r="M19" s="42" t="str"/>
    </x:row>
    <x:row r="20">
      <x:c r="A20" s="42" t="str">
        <x:v>TC-MEM-004-NOM</x:v>
      </x:c>
      <x:c r="B20" s="42" t="str">
        <x:v>MEM-004</x:v>
      </x:c>
      <x:c r="C20" s="42" t="str">
        <x:v>US-MEM-004</x:v>
      </x:c>
      <x:c r="D20" s="42" t="str">
        <x:v>Membres et entreprises</x:v>
      </x:c>
      <x:c r="E20" s="42" t="str">
        <x:v>Nominal</x:v>
      </x:c>
      <x:c r="F20" s="42" t="str">
        <x:v>Utilisateur authentifié, autorisé et données valides.</x:v>
      </x:c>
      <x:c r="G20" s="42" t="str">
        <x:v>1. Préparer les données. 2. Exécuter : Historiser tout changement de catégorie, groupement, statut ou représentant. 3. Consulter le résultat et l’audit.</x:v>
      </x:c>
      <x:c r="H20" s="42" t="str">
        <x:v>La timeline restitue la valeur, l’auteur, la date et le motif.</x:v>
      </x:c>
      <x:c r="I20" s="42" t="str">
        <x:v>Critique</x:v>
      </x:c>
      <x:c r="J20" s="42" t="str">
        <x:v>Synthétique valide</x:v>
      </x:c>
      <x:c r="K20" s="42" t="str">
        <x:v>À automatiser</x:v>
      </x:c>
      <x:c r="L20" s="42" t="str">
        <x:v>Non exécuté</x:v>
      </x:c>
      <x:c r="M20" s="42" t="str"/>
    </x:row>
    <x:row r="21">
      <x:c r="A21" s="42" t="str">
        <x:v>TC-MEM-004-CTRL</x:v>
      </x:c>
      <x:c r="B21" s="42" t="str">
        <x:v>MEM-004</x:v>
      </x:c>
      <x:c r="C21" s="42" t="str">
        <x:v>US-MEM-004</x:v>
      </x:c>
      <x:c r="D21" s="42" t="str">
        <x:v>Membres et entreprises</x:v>
      </x:c>
      <x:c r="E21" s="42" t="str">
        <x:v>Contrôle négatif</x:v>
      </x:c>
      <x:c r="F21" s="42" t="str">
        <x:v>Utilisateur non autorisé ou donnée invalide.</x:v>
      </x:c>
      <x:c r="G21" s="42" t="str">
        <x:v>1. Préparer un cas invalide. 2. Tenter l’opération. 3. Vérifier refus, message et absence d’effet secondaire.</x:v>
      </x:c>
      <x:c r="H21" s="42" t="str">
        <x:v>L’opération est refusée de manière sûre, sans altération des données, avec erreur corrélée et audit si applicable.</x:v>
      </x:c>
      <x:c r="I21" s="42" t="str">
        <x:v>Haute</x:v>
      </x:c>
      <x:c r="J21" s="42" t="str">
        <x:v>Synthétique invalide</x:v>
      </x:c>
      <x:c r="K21" s="42" t="str">
        <x:v>À automatiser</x:v>
      </x:c>
      <x:c r="L21" s="42" t="str">
        <x:v>Non exécuté</x:v>
      </x:c>
      <x:c r="M21" s="42" t="str"/>
    </x:row>
    <x:row r="22">
      <x:c r="A22" s="42" t="str">
        <x:v>TC-MEM-005-NOM</x:v>
      </x:c>
      <x:c r="B22" s="42" t="str">
        <x:v>MEM-005</x:v>
      </x:c>
      <x:c r="C22" s="42" t="str">
        <x:v>US-MEM-005</x:v>
      </x:c>
      <x:c r="D22" s="42" t="str">
        <x:v>Membres et entreprises</x:v>
      </x:c>
      <x:c r="E22" s="42" t="str">
        <x:v>Nominal</x:v>
      </x:c>
      <x:c r="F22" s="42" t="str">
        <x:v>Utilisateur authentifié, autorisé et données valides.</x:v>
      </x:c>
      <x:c r="G22" s="42" t="str">
        <x:v>1. Préparer les données. 2. Exécuter : Gérer les fusions, changements de raison sociale et successions juridiques. 3. Consulter le résultat et l’audit.</x:v>
      </x:c>
      <x:c r="H22" s="42" t="str">
        <x:v>Les liens entre entités antérieures et nouvelles restent consultables.</x:v>
      </x:c>
      <x:c r="I22" s="42" t="str">
        <x:v>Haute</x:v>
      </x:c>
      <x:c r="J22" s="42" t="str">
        <x:v>Synthétique valide</x:v>
      </x:c>
      <x:c r="K22" s="42" t="str">
        <x:v>À automatiser</x:v>
      </x:c>
      <x:c r="L22" s="42" t="str">
        <x:v>Non exécuté</x:v>
      </x:c>
      <x:c r="M22" s="42" t="str"/>
    </x:row>
    <x:row r="23">
      <x:c r="A23" s="42" t="str">
        <x:v>TC-MEM-005-CTRL</x:v>
      </x:c>
      <x:c r="B23" s="42" t="str">
        <x:v>MEM-005</x:v>
      </x:c>
      <x:c r="C23" s="42" t="str">
        <x:v>US-MEM-005</x:v>
      </x:c>
      <x:c r="D23" s="42" t="str">
        <x:v>Membres et entreprises</x:v>
      </x:c>
      <x:c r="E23" s="42" t="str">
        <x:v>Contrôle négatif</x:v>
      </x:c>
      <x:c r="F23" s="42" t="str">
        <x:v>Utilisateur non autorisé ou donnée invalide.</x:v>
      </x:c>
      <x:c r="G23" s="42" t="str">
        <x:v>1. Préparer un cas invalide. 2. Tenter l’opération. 3. Vérifier refus, message et absence d’effet secondaire.</x:v>
      </x:c>
      <x:c r="H23" s="42" t="str">
        <x:v>L’opération est refusée de manière sûre, sans altération des données, avec erreur corrélée et audit si applicable.</x:v>
      </x:c>
      <x:c r="I23" s="42" t="str">
        <x:v>Haute</x:v>
      </x:c>
      <x:c r="J23" s="42" t="str">
        <x:v>Synthétique invalide</x:v>
      </x:c>
      <x:c r="K23" s="42" t="str">
        <x:v>À automatiser</x:v>
      </x:c>
      <x:c r="L23" s="42" t="str">
        <x:v>Non exécuté</x:v>
      </x:c>
      <x:c r="M23" s="42" t="str"/>
    </x:row>
    <x:row r="24">
      <x:c r="A24" s="42" t="str">
        <x:v>TC-MEM-006-NOM</x:v>
      </x:c>
      <x:c r="B24" s="42" t="str">
        <x:v>MEM-006</x:v>
      </x:c>
      <x:c r="C24" s="42" t="str">
        <x:v>US-MEM-006</x:v>
      </x:c>
      <x:c r="D24" s="42" t="str">
        <x:v>Membres et entreprises</x:v>
      </x:c>
      <x:c r="E24" s="42" t="str">
        <x:v>Nominal</x:v>
      </x:c>
      <x:c r="F24" s="42" t="str">
        <x:v>Utilisateur authentifié, autorisé et données valides.</x:v>
      </x:c>
      <x:c r="G24" s="42" t="str">
        <x:v>1. Préparer les données. 2. Exécuter : Générer une carte membre numérique avec QR sécurisé. 3. Consulter le résultat et l’audit.</x:v>
      </x:c>
      <x:c r="H24" s="42" t="str">
        <x:v>Le QR ouvre une page de vérification sans exposer de données sensibles.</x:v>
      </x:c>
      <x:c r="I24" s="42" t="str">
        <x:v>Haute</x:v>
      </x:c>
      <x:c r="J24" s="42" t="str">
        <x:v>Synthétique valide</x:v>
      </x:c>
      <x:c r="K24" s="42" t="str">
        <x:v>À automatiser</x:v>
      </x:c>
      <x:c r="L24" s="42" t="str">
        <x:v>Non exécuté</x:v>
      </x:c>
      <x:c r="M24" s="42" t="str"/>
    </x:row>
    <x:row r="25">
      <x:c r="A25" s="42" t="str">
        <x:v>TC-MEM-006-CTRL</x:v>
      </x:c>
      <x:c r="B25" s="42" t="str">
        <x:v>MEM-006</x:v>
      </x:c>
      <x:c r="C25" s="42" t="str">
        <x:v>US-MEM-006</x:v>
      </x:c>
      <x:c r="D25" s="42" t="str">
        <x:v>Membres et entreprises</x:v>
      </x:c>
      <x:c r="E25" s="42" t="str">
        <x:v>Contrôle négatif</x:v>
      </x:c>
      <x:c r="F25" s="42" t="str">
        <x:v>Utilisateur non autorisé ou donnée invalide.</x:v>
      </x:c>
      <x:c r="G25" s="42" t="str">
        <x:v>1. Préparer un cas invalide. 2. Tenter l’opération. 3. Vérifier refus, message et absence d’effet secondaire.</x:v>
      </x:c>
      <x:c r="H25" s="42" t="str">
        <x:v>L’opération est refusée de manière sûre, sans altération des données, avec erreur corrélée et audit si applicable.</x:v>
      </x:c>
      <x:c r="I25" s="42" t="str">
        <x:v>Haute</x:v>
      </x:c>
      <x:c r="J25" s="42" t="str">
        <x:v>Synthétique invalide</x:v>
      </x:c>
      <x:c r="K25" s="42" t="str">
        <x:v>À automatiser</x:v>
      </x:c>
      <x:c r="L25" s="42" t="str">
        <x:v>Non exécuté</x:v>
      </x:c>
      <x:c r="M25" s="42" t="str"/>
    </x:row>
    <x:row r="26">
      <x:c r="A26" s="42" t="str">
        <x:v>TC-MEM-007-NOM</x:v>
      </x:c>
      <x:c r="B26" s="42" t="str">
        <x:v>MEM-007</x:v>
      </x:c>
      <x:c r="C26" s="42" t="str">
        <x:v>US-MEM-007</x:v>
      </x:c>
      <x:c r="D26" s="42" t="str">
        <x:v>Membres et entreprises</x:v>
      </x:c>
      <x:c r="E26" s="42" t="str">
        <x:v>Nominal</x:v>
      </x:c>
      <x:c r="F26" s="42" t="str">
        <x:v>Utilisateur authentifié, autorisé et données valides.</x:v>
      </x:c>
      <x:c r="G26" s="42" t="str">
        <x:v>1. Préparer les données. 2. Exécuter : Permettre une vue consolidée groupe de sociétés. 3. Consulter le résultat et l’audit.</x:v>
      </x:c>
      <x:c r="H26" s="42" t="str">
        <x:v>Les soldes et contributions sont agrégés sans fusionner les comptes juridiques.</x:v>
      </x:c>
      <x:c r="I26" s="42" t="str">
        <x:v>Haute</x:v>
      </x:c>
      <x:c r="J26" s="42" t="str">
        <x:v>Synthétique valide</x:v>
      </x:c>
      <x:c r="K26" s="42" t="str">
        <x:v>À automatiser</x:v>
      </x:c>
      <x:c r="L26" s="42" t="str">
        <x:v>Non exécuté</x:v>
      </x:c>
      <x:c r="M26" s="42" t="str"/>
    </x:row>
    <x:row r="27">
      <x:c r="A27" s="42" t="str">
        <x:v>TC-MEM-007-CTRL</x:v>
      </x:c>
      <x:c r="B27" s="42" t="str">
        <x:v>MEM-007</x:v>
      </x:c>
      <x:c r="C27" s="42" t="str">
        <x:v>US-MEM-007</x:v>
      </x:c>
      <x:c r="D27" s="42" t="str">
        <x:v>Membres et entreprises</x:v>
      </x:c>
      <x:c r="E27" s="42" t="str">
        <x:v>Contrôle négatif</x:v>
      </x:c>
      <x:c r="F27" s="42" t="str">
        <x:v>Utilisateur non autorisé ou donnée invalide.</x:v>
      </x:c>
      <x:c r="G27" s="42" t="str">
        <x:v>1. Préparer un cas invalide. 2. Tenter l’opération. 3. Vérifier refus, message et absence d’effet secondaire.</x:v>
      </x:c>
      <x:c r="H27" s="42" t="str">
        <x:v>L’opération est refusée de manière sûre, sans altération des données, avec erreur corrélée et audit si applicable.</x:v>
      </x:c>
      <x:c r="I27" s="42" t="str">
        <x:v>Haute</x:v>
      </x:c>
      <x:c r="J27" s="42" t="str">
        <x:v>Synthétique invalide</x:v>
      </x:c>
      <x:c r="K27" s="42" t="str">
        <x:v>À automatiser</x:v>
      </x:c>
      <x:c r="L27" s="42" t="str">
        <x:v>Non exécuté</x:v>
      </x:c>
      <x:c r="M27" s="42" t="str"/>
    </x:row>
    <x:row r="28">
      <x:c r="A28" s="42" t="str">
        <x:v>TC-MEM-008-NOM</x:v>
      </x:c>
      <x:c r="B28" s="42" t="str">
        <x:v>MEM-008</x:v>
      </x:c>
      <x:c r="C28" s="42" t="str">
        <x:v>US-MEM-008</x:v>
      </x:c>
      <x:c r="D28" s="42" t="str">
        <x:v>Membres et entreprises</x:v>
      </x:c>
      <x:c r="E28" s="42" t="str">
        <x:v>Nominal</x:v>
      </x:c>
      <x:c r="F28" s="42" t="str">
        <x:v>Utilisateur authentifié, autorisé et données valides.</x:v>
      </x:c>
      <x:c r="G28" s="42" t="str">
        <x:v>1. Préparer les données. 2. Exécuter : Exporter la fiche membre complète selon les droits. 3. Consulter le résultat et l’audit.</x:v>
      </x:c>
      <x:c r="H28" s="42" t="str">
        <x:v>PDF horodaté et journalisé, données masquées selon le rôle.</x:v>
      </x:c>
      <x:c r="I28" s="42" t="str">
        <x:v>Critique</x:v>
      </x:c>
      <x:c r="J28" s="42" t="str">
        <x:v>Synthétique valide</x:v>
      </x:c>
      <x:c r="K28" s="42" t="str">
        <x:v>À automatiser</x:v>
      </x:c>
      <x:c r="L28" s="42" t="str">
        <x:v>Non exécuté</x:v>
      </x:c>
      <x:c r="M28" s="42" t="str"/>
    </x:row>
    <x:row r="29">
      <x:c r="A29" s="42" t="str">
        <x:v>TC-MEM-008-CTRL</x:v>
      </x:c>
      <x:c r="B29" s="42" t="str">
        <x:v>MEM-008</x:v>
      </x:c>
      <x:c r="C29" s="42" t="str">
        <x:v>US-MEM-008</x:v>
      </x:c>
      <x:c r="D29" s="42" t="str">
        <x:v>Membres et entreprises</x:v>
      </x:c>
      <x:c r="E29" s="42" t="str">
        <x:v>Contrôle négatif</x:v>
      </x:c>
      <x:c r="F29" s="42" t="str">
        <x:v>Utilisateur non autorisé ou donnée invalide.</x:v>
      </x:c>
      <x:c r="G29" s="42" t="str">
        <x:v>1. Préparer un cas invalide. 2. Tenter l’opération. 3. Vérifier refus, message et absence d’effet secondaire.</x:v>
      </x:c>
      <x:c r="H29" s="42" t="str">
        <x:v>L’opération est refusée de manière sûre, sans altération des données, avec erreur corrélée et audit si applicable.</x:v>
      </x:c>
      <x:c r="I29" s="42" t="str">
        <x:v>Haute</x:v>
      </x:c>
      <x:c r="J29" s="42" t="str">
        <x:v>Synthétique invalide</x:v>
      </x:c>
      <x:c r="K29" s="42" t="str">
        <x:v>À automatiser</x:v>
      </x:c>
      <x:c r="L29" s="42" t="str">
        <x:v>Non exécuté</x:v>
      </x:c>
      <x:c r="M29" s="42" t="str"/>
    </x:row>
    <x:row r="30">
      <x:c r="A30" s="42" t="str">
        <x:v>TC-ENR-001-NOM</x:v>
      </x:c>
      <x:c r="B30" s="42" t="str">
        <x:v>ENR-001</x:v>
      </x:c>
      <x:c r="C30" s="42" t="str">
        <x:v>US-ENR-001</x:v>
      </x:c>
      <x:c r="D30" s="42" t="str">
        <x:v>Enrôlement et adhésion</x:v>
      </x:c>
      <x:c r="E30" s="42" t="str">
        <x:v>Nominal</x:v>
      </x:c>
      <x:c r="F30" s="42" t="str">
        <x:v>Utilisateur authentifié, autorisé et données valides.</x:v>
      </x:c>
      <x:c r="G30" s="42" t="str">
        <x:v>1. Préparer les données. 2. Exécuter : Proposer des formulaires adaptatifs selon forme juridique et catégorie. 3. Consulter le résultat et l’audit.</x:v>
      </x:c>
      <x:c r="H30" s="42" t="str">
        <x:v>Les champs et pièces varient automatiquement selon le profil.</x:v>
      </x:c>
      <x:c r="I30" s="42" t="str">
        <x:v>Critique</x:v>
      </x:c>
      <x:c r="J30" s="42" t="str">
        <x:v>Synthétique valide</x:v>
      </x:c>
      <x:c r="K30" s="42" t="str">
        <x:v>À automatiser</x:v>
      </x:c>
      <x:c r="L30" s="42" t="str">
        <x:v>Non exécuté</x:v>
      </x:c>
      <x:c r="M30" s="42" t="str"/>
    </x:row>
    <x:row r="31">
      <x:c r="A31" s="42" t="str">
        <x:v>TC-ENR-001-CTRL</x:v>
      </x:c>
      <x:c r="B31" s="42" t="str">
        <x:v>ENR-001</x:v>
      </x:c>
      <x:c r="C31" s="42" t="str">
        <x:v>US-ENR-001</x:v>
      </x:c>
      <x:c r="D31" s="42" t="str">
        <x:v>Enrôlement et adhésion</x:v>
      </x:c>
      <x:c r="E31" s="42" t="str">
        <x:v>Contrôle négatif</x:v>
      </x:c>
      <x:c r="F31" s="42" t="str">
        <x:v>Utilisateur non autorisé ou donnée invalide.</x:v>
      </x:c>
      <x:c r="G31" s="42" t="str">
        <x:v>1. Préparer un cas invalide. 2. Tenter l’opération. 3. Vérifier refus, message et absence d’effet secondaire.</x:v>
      </x:c>
      <x:c r="H31" s="42" t="str">
        <x:v>L’opération est refusée de manière sûre, sans altération des données, avec erreur corrélée et audit si applicable.</x:v>
      </x:c>
      <x:c r="I31" s="42" t="str">
        <x:v>Haute</x:v>
      </x:c>
      <x:c r="J31" s="42" t="str">
        <x:v>Synthétique invalide</x:v>
      </x:c>
      <x:c r="K31" s="42" t="str">
        <x:v>À automatiser</x:v>
      </x:c>
      <x:c r="L31" s="42" t="str">
        <x:v>Non exécuté</x:v>
      </x:c>
      <x:c r="M31" s="42" t="str"/>
    </x:row>
    <x:row r="32">
      <x:c r="A32" s="42" t="str">
        <x:v>TC-ENR-002-NOM</x:v>
      </x:c>
      <x:c r="B32" s="42" t="str">
        <x:v>ENR-002</x:v>
      </x:c>
      <x:c r="C32" s="42" t="str">
        <x:v>US-ENR-002</x:v>
      </x:c>
      <x:c r="D32" s="42" t="str">
        <x:v>Enrôlement et adhésion</x:v>
      </x:c>
      <x:c r="E32" s="42" t="str">
        <x:v>Nominal</x:v>
      </x:c>
      <x:c r="F32" s="42" t="str">
        <x:v>Utilisateur authentifié, autorisé et données valides.</x:v>
      </x:c>
      <x:c r="G32" s="42" t="str">
        <x:v>1. Préparer les données. 2. Exécuter : Sauvegarder un brouillon et reprendre sur un autre appareil. 3. Consulter le résultat et l’audit.</x:v>
      </x:c>
      <x:c r="H32" s="42" t="str">
        <x:v>Le demandeur récupère son dossier après authentification OTP.</x:v>
      </x:c>
      <x:c r="I32" s="42" t="str">
        <x:v>Critique</x:v>
      </x:c>
      <x:c r="J32" s="42" t="str">
        <x:v>Synthétique valide</x:v>
      </x:c>
      <x:c r="K32" s="42" t="str">
        <x:v>À automatiser</x:v>
      </x:c>
      <x:c r="L32" s="42" t="str">
        <x:v>Non exécuté</x:v>
      </x:c>
      <x:c r="M32" s="42" t="str"/>
    </x:row>
    <x:row r="33">
      <x:c r="A33" s="42" t="str">
        <x:v>TC-ENR-002-CTRL</x:v>
      </x:c>
      <x:c r="B33" s="42" t="str">
        <x:v>ENR-002</x:v>
      </x:c>
      <x:c r="C33" s="42" t="str">
        <x:v>US-ENR-002</x:v>
      </x:c>
      <x:c r="D33" s="42" t="str">
        <x:v>Enrôlement et adhésion</x:v>
      </x:c>
      <x:c r="E33" s="42" t="str">
        <x:v>Contrôle négatif</x:v>
      </x:c>
      <x:c r="F33" s="42" t="str">
        <x:v>Utilisateur non autorisé ou donnée invalide.</x:v>
      </x:c>
      <x:c r="G33" s="42" t="str">
        <x:v>1. Préparer un cas invalide. 2. Tenter l’opération. 3. Vérifier refus, message et absence d’effet secondaire.</x:v>
      </x:c>
      <x:c r="H33" s="42" t="str">
        <x:v>L’opération est refusée de manière sûre, sans altération des données, avec erreur corrélée et audit si applicable.</x:v>
      </x:c>
      <x:c r="I33" s="42" t="str">
        <x:v>Haute</x:v>
      </x:c>
      <x:c r="J33" s="42" t="str">
        <x:v>Synthétique invalide</x:v>
      </x:c>
      <x:c r="K33" s="42" t="str">
        <x:v>À automatiser</x:v>
      </x:c>
      <x:c r="L33" s="42" t="str">
        <x:v>Non exécuté</x:v>
      </x:c>
      <x:c r="M33" s="42" t="str"/>
    </x:row>
    <x:row r="34">
      <x:c r="A34" s="42" t="str">
        <x:v>TC-ENR-003-NOM</x:v>
      </x:c>
      <x:c r="B34" s="42" t="str">
        <x:v>ENR-003</x:v>
      </x:c>
      <x:c r="C34" s="42" t="str">
        <x:v>US-ENR-003</x:v>
      </x:c>
      <x:c r="D34" s="42" t="str">
        <x:v>Enrôlement et adhésion</x:v>
      </x:c>
      <x:c r="E34" s="42" t="str">
        <x:v>Nominal</x:v>
      </x:c>
      <x:c r="F34" s="42" t="str">
        <x:v>Utilisateur authentifié, autorisé et données valides.</x:v>
      </x:c>
      <x:c r="G34" s="42" t="str">
        <x:v>1. Préparer les données. 2. Exécuter : Capturer RCCM, NIF et contacts avec contrôle de format. 3. Consulter le résultat et l’audit.</x:v>
      </x:c>
      <x:c r="H34" s="42" t="str">
        <x:v>Les formats invalides sont refusés avant soumission.</x:v>
      </x:c>
      <x:c r="I34" s="42" t="str">
        <x:v>Critique</x:v>
      </x:c>
      <x:c r="J34" s="42" t="str">
        <x:v>Synthétique valide</x:v>
      </x:c>
      <x:c r="K34" s="42" t="str">
        <x:v>À automatiser</x:v>
      </x:c>
      <x:c r="L34" s="42" t="str">
        <x:v>Non exécuté</x:v>
      </x:c>
      <x:c r="M34" s="42" t="str"/>
    </x:row>
    <x:row r="35">
      <x:c r="A35" s="42" t="str">
        <x:v>TC-ENR-003-CTRL</x:v>
      </x:c>
      <x:c r="B35" s="42" t="str">
        <x:v>ENR-003</x:v>
      </x:c>
      <x:c r="C35" s="42" t="str">
        <x:v>US-ENR-003</x:v>
      </x:c>
      <x:c r="D35" s="42" t="str">
        <x:v>Enrôlement et adhésion</x:v>
      </x:c>
      <x:c r="E35" s="42" t="str">
        <x:v>Contrôle négatif</x:v>
      </x:c>
      <x:c r="F35" s="42" t="str">
        <x:v>Utilisateur non autorisé ou donnée invalide.</x:v>
      </x:c>
      <x:c r="G35" s="42" t="str">
        <x:v>1. Préparer un cas invalide. 2. Tenter l’opération. 3. Vérifier refus, message et absence d’effet secondaire.</x:v>
      </x:c>
      <x:c r="H35" s="42" t="str">
        <x:v>L’opération est refusée de manière sûre, sans altération des données, avec erreur corrélée et audit si applicable.</x:v>
      </x:c>
      <x:c r="I35" s="42" t="str">
        <x:v>Haute</x:v>
      </x:c>
      <x:c r="J35" s="42" t="str">
        <x:v>Synthétique invalide</x:v>
      </x:c>
      <x:c r="K35" s="42" t="str">
        <x:v>À automatiser</x:v>
      </x:c>
      <x:c r="L35" s="42" t="str">
        <x:v>Non exécuté</x:v>
      </x:c>
      <x:c r="M35" s="42" t="str"/>
    </x:row>
    <x:row r="36">
      <x:c r="A36" s="42" t="str">
        <x:v>TC-ENR-004-NOM</x:v>
      </x:c>
      <x:c r="B36" s="42" t="str">
        <x:v>ENR-004</x:v>
      </x:c>
      <x:c r="C36" s="42" t="str">
        <x:v>US-ENR-004</x:v>
      </x:c>
      <x:c r="D36" s="42" t="str">
        <x:v>Enrôlement et adhésion</x:v>
      </x:c>
      <x:c r="E36" s="42" t="str">
        <x:v>Nominal</x:v>
      </x:c>
      <x:c r="F36" s="42" t="str">
        <x:v>Utilisateur authentifié, autorisé et données valides.</x:v>
      </x:c>
      <x:c r="G36" s="42" t="str">
        <x:v>1. Préparer les données. 2. Exécuter : Gérer les pièces obligatoires, facultatives et conditionnelles. 3. Consulter le résultat et l’audit.</x:v>
      </x:c>
      <x:c r="H36" s="42" t="str">
        <x:v>La soumission est bloquée si une pièce requise manque.</x:v>
      </x:c>
      <x:c r="I36" s="42" t="str">
        <x:v>Critique</x:v>
      </x:c>
      <x:c r="J36" s="42" t="str">
        <x:v>Synthétique valide</x:v>
      </x:c>
      <x:c r="K36" s="42" t="str">
        <x:v>À automatiser</x:v>
      </x:c>
      <x:c r="L36" s="42" t="str">
        <x:v>Non exécuté</x:v>
      </x:c>
      <x:c r="M36" s="42" t="str"/>
    </x:row>
    <x:row r="37">
      <x:c r="A37" s="42" t="str">
        <x:v>TC-ENR-004-CTRL</x:v>
      </x:c>
      <x:c r="B37" s="42" t="str">
        <x:v>ENR-004</x:v>
      </x:c>
      <x:c r="C37" s="42" t="str">
        <x:v>US-ENR-004</x:v>
      </x:c>
      <x:c r="D37" s="42" t="str">
        <x:v>Enrôlement et adhésion</x:v>
      </x:c>
      <x:c r="E37" s="42" t="str">
        <x:v>Contrôle négatif</x:v>
      </x:c>
      <x:c r="F37" s="42" t="str">
        <x:v>Utilisateur non autorisé ou donnée invalide.</x:v>
      </x:c>
      <x:c r="G37" s="42" t="str">
        <x:v>1. Préparer un cas invalide. 2. Tenter l’opération. 3. Vérifier refus, message et absence d’effet secondaire.</x:v>
      </x:c>
      <x:c r="H37" s="42" t="str">
        <x:v>L’opération est refusée de manière sûre, sans altération des données, avec erreur corrélée et audit si applicable.</x:v>
      </x:c>
      <x:c r="I37" s="42" t="str">
        <x:v>Haute</x:v>
      </x:c>
      <x:c r="J37" s="42" t="str">
        <x:v>Synthétique invalide</x:v>
      </x:c>
      <x:c r="K37" s="42" t="str">
        <x:v>À automatiser</x:v>
      </x:c>
      <x:c r="L37" s="42" t="str">
        <x:v>Non exécuté</x:v>
      </x:c>
      <x:c r="M37" s="42" t="str"/>
    </x:row>
    <x:row r="38">
      <x:c r="A38" s="42" t="str">
        <x:v>TC-ENR-005-NOM</x:v>
      </x:c>
      <x:c r="B38" s="42" t="str">
        <x:v>ENR-005</x:v>
      </x:c>
      <x:c r="C38" s="42" t="str">
        <x:v>US-ENR-005</x:v>
      </x:c>
      <x:c r="D38" s="42" t="str">
        <x:v>Enrôlement et adhésion</x:v>
      </x:c>
      <x:c r="E38" s="42" t="str">
        <x:v>Nominal</x:v>
      </x:c>
      <x:c r="F38" s="42" t="str">
        <x:v>Utilisateur authentifié, autorisé et données valides.</x:v>
      </x:c>
      <x:c r="G38" s="42" t="str">
        <x:v>1. Préparer les données. 2. Exécuter : Permettre au contrôleur de demander un complément avec motif. 3. Consulter le résultat et l’audit.</x:v>
      </x:c>
      <x:c r="H38" s="42" t="str">
        <x:v>Le membre reçoit la liste exacte et une échéance.</x:v>
      </x:c>
      <x:c r="I38" s="42" t="str">
        <x:v>Critique</x:v>
      </x:c>
      <x:c r="J38" s="42" t="str">
        <x:v>Synthétique valide</x:v>
      </x:c>
      <x:c r="K38" s="42" t="str">
        <x:v>À automatiser</x:v>
      </x:c>
      <x:c r="L38" s="42" t="str">
        <x:v>Non exécuté</x:v>
      </x:c>
      <x:c r="M38" s="42" t="str"/>
    </x:row>
    <x:row r="39">
      <x:c r="A39" s="42" t="str">
        <x:v>TC-ENR-005-CTRL</x:v>
      </x:c>
      <x:c r="B39" s="42" t="str">
        <x:v>ENR-005</x:v>
      </x:c>
      <x:c r="C39" s="42" t="str">
        <x:v>US-ENR-005</x:v>
      </x:c>
      <x:c r="D39" s="42" t="str">
        <x:v>Enrôlement et adhésion</x:v>
      </x:c>
      <x:c r="E39" s="42" t="str">
        <x:v>Contrôle négatif</x:v>
      </x:c>
      <x:c r="F39" s="42" t="str">
        <x:v>Utilisateur non autorisé ou donnée invalide.</x:v>
      </x:c>
      <x:c r="G39" s="42" t="str">
        <x:v>1. Préparer un cas invalide. 2. Tenter l’opération. 3. Vérifier refus, message et absence d’effet secondaire.</x:v>
      </x:c>
      <x:c r="H39" s="42" t="str">
        <x:v>L’opération est refusée de manière sûre, sans altération des données, avec erreur corrélée et audit si applicable.</x:v>
      </x:c>
      <x:c r="I39" s="42" t="str">
        <x:v>Haute</x:v>
      </x:c>
      <x:c r="J39" s="42" t="str">
        <x:v>Synthétique invalide</x:v>
      </x:c>
      <x:c r="K39" s="42" t="str">
        <x:v>À automatiser</x:v>
      </x:c>
      <x:c r="L39" s="42" t="str">
        <x:v>Non exécuté</x:v>
      </x:c>
      <x:c r="M39" s="42" t="str"/>
    </x:row>
    <x:row r="40">
      <x:c r="A40" s="42" t="str">
        <x:v>TC-ENR-006-NOM</x:v>
      </x:c>
      <x:c r="B40" s="42" t="str">
        <x:v>ENR-006</x:v>
      </x:c>
      <x:c r="C40" s="42" t="str">
        <x:v>US-ENR-006</x:v>
      </x:c>
      <x:c r="D40" s="42" t="str">
        <x:v>Enrôlement et adhésion</x:v>
      </x:c>
      <x:c r="E40" s="42" t="str">
        <x:v>Nominal</x:v>
      </x:c>
      <x:c r="F40" s="42" t="str">
        <x:v>Utilisateur authentifié, autorisé et données valides.</x:v>
      </x:c>
      <x:c r="G40" s="42" t="str">
        <x:v>1. Préparer les données. 2. Exécuter : Tracer le consentement, la version de la politique et l’horodatage. 3. Consulter le résultat et l’audit.</x:v>
      </x:c>
      <x:c r="H40" s="42" t="str">
        <x:v>La preuve est exportable pour audit.</x:v>
      </x:c>
      <x:c r="I40" s="42" t="str">
        <x:v>Critique</x:v>
      </x:c>
      <x:c r="J40" s="42" t="str">
        <x:v>Synthétique valide</x:v>
      </x:c>
      <x:c r="K40" s="42" t="str">
        <x:v>À automatiser</x:v>
      </x:c>
      <x:c r="L40" s="42" t="str">
        <x:v>Non exécuté</x:v>
      </x:c>
      <x:c r="M40" s="42" t="str"/>
    </x:row>
    <x:row r="41">
      <x:c r="A41" s="42" t="str">
        <x:v>TC-ENR-006-CTRL</x:v>
      </x:c>
      <x:c r="B41" s="42" t="str">
        <x:v>ENR-006</x:v>
      </x:c>
      <x:c r="C41" s="42" t="str">
        <x:v>US-ENR-006</x:v>
      </x:c>
      <x:c r="D41" s="42" t="str">
        <x:v>Enrôlement et adhésion</x:v>
      </x:c>
      <x:c r="E41" s="42" t="str">
        <x:v>Contrôle négatif</x:v>
      </x:c>
      <x:c r="F41" s="42" t="str">
        <x:v>Utilisateur non autorisé ou donnée invalide.</x:v>
      </x:c>
      <x:c r="G41" s="42" t="str">
        <x:v>1. Préparer un cas invalide. 2. Tenter l’opération. 3. Vérifier refus, message et absence d’effet secondaire.</x:v>
      </x:c>
      <x:c r="H41" s="42" t="str">
        <x:v>L’opération est refusée de manière sûre, sans altération des données, avec erreur corrélée et audit si applicable.</x:v>
      </x:c>
      <x:c r="I41" s="42" t="str">
        <x:v>Haute</x:v>
      </x:c>
      <x:c r="J41" s="42" t="str">
        <x:v>Synthétique invalide</x:v>
      </x:c>
      <x:c r="K41" s="42" t="str">
        <x:v>À automatiser</x:v>
      </x:c>
      <x:c r="L41" s="42" t="str">
        <x:v>Non exécuté</x:v>
      </x:c>
      <x:c r="M41" s="42" t="str"/>
    </x:row>
    <x:row r="42">
      <x:c r="A42" s="42" t="str">
        <x:v>TC-ENR-007-NOM</x:v>
      </x:c>
      <x:c r="B42" s="42" t="str">
        <x:v>ENR-007</x:v>
      </x:c>
      <x:c r="C42" s="42" t="str">
        <x:v>US-ENR-007</x:v>
      </x:c>
      <x:c r="D42" s="42" t="str">
        <x:v>Enrôlement et adhésion</x:v>
      </x:c>
      <x:c r="E42" s="42" t="str">
        <x:v>Nominal</x:v>
      </x:c>
      <x:c r="F42" s="42" t="str">
        <x:v>Utilisateur authentifié, autorisé et données valides.</x:v>
      </x:c>
      <x:c r="G42" s="42" t="str">
        <x:v>1. Préparer les données. 2. Exécuter : Mesurer le taux de conversion par canal, groupement et campagne. 3. Consulter le résultat et l’audit.</x:v>
      </x:c>
      <x:c r="H42" s="42" t="str">
        <x:v>Le tableau de bord présente les étapes d’abandon.</x:v>
      </x:c>
      <x:c r="I42" s="42" t="str">
        <x:v>Haute</x:v>
      </x:c>
      <x:c r="J42" s="42" t="str">
        <x:v>Synthétique valide</x:v>
      </x:c>
      <x:c r="K42" s="42" t="str">
        <x:v>À automatiser</x:v>
      </x:c>
      <x:c r="L42" s="42" t="str">
        <x:v>Non exécuté</x:v>
      </x:c>
      <x:c r="M42" s="42" t="str"/>
    </x:row>
    <x:row r="43">
      <x:c r="A43" s="42" t="str">
        <x:v>TC-ENR-007-CTRL</x:v>
      </x:c>
      <x:c r="B43" s="42" t="str">
        <x:v>ENR-007</x:v>
      </x:c>
      <x:c r="C43" s="42" t="str">
        <x:v>US-ENR-007</x:v>
      </x:c>
      <x:c r="D43" s="42" t="str">
        <x:v>Enrôlement et adhésion</x:v>
      </x:c>
      <x:c r="E43" s="42" t="str">
        <x:v>Contrôle négatif</x:v>
      </x:c>
      <x:c r="F43" s="42" t="str">
        <x:v>Utilisateur non autorisé ou donnée invalide.</x:v>
      </x:c>
      <x:c r="G43" s="42" t="str">
        <x:v>1. Préparer un cas invalide. 2. Tenter l’opération. 3. Vérifier refus, message et absence d’effet secondaire.</x:v>
      </x:c>
      <x:c r="H43" s="42" t="str">
        <x:v>L’opération est refusée de manière sûre, sans altération des données, avec erreur corrélée et audit si applicable.</x:v>
      </x:c>
      <x:c r="I43" s="42" t="str">
        <x:v>Haute</x:v>
      </x:c>
      <x:c r="J43" s="42" t="str">
        <x:v>Synthétique invalide</x:v>
      </x:c>
      <x:c r="K43" s="42" t="str">
        <x:v>À automatiser</x:v>
      </x:c>
      <x:c r="L43" s="42" t="str">
        <x:v>Non exécuté</x:v>
      </x:c>
      <x:c r="M43" s="42" t="str"/>
    </x:row>
    <x:row r="44">
      <x:c r="A44" s="42" t="str">
        <x:v>TC-ENR-008-NOM</x:v>
      </x:c>
      <x:c r="B44" s="42" t="str">
        <x:v>ENR-008</x:v>
      </x:c>
      <x:c r="C44" s="42" t="str">
        <x:v>US-ENR-008</x:v>
      </x:c>
      <x:c r="D44" s="42" t="str">
        <x:v>Enrôlement et adhésion</x:v>
      </x:c>
      <x:c r="E44" s="42" t="str">
        <x:v>Nominal</x:v>
      </x:c>
      <x:c r="F44" s="42" t="str">
        <x:v>Utilisateur authentifié, autorisé et données valides.</x:v>
      </x:c>
      <x:c r="G44" s="42" t="str">
        <x:v>1. Préparer les données. 2. Exécuter : Fonctionner en mode faible connectivité. 3. Consulter le résultat et l’audit.</x:v>
      </x:c>
      <x:c r="H44" s="42" t="str">
        <x:v>Compression images, reprise de chargement et synchronisation différée.</x:v>
      </x:c>
      <x:c r="I44" s="42" t="str">
        <x:v>Critique</x:v>
      </x:c>
      <x:c r="J44" s="42" t="str">
        <x:v>Synthétique valide</x:v>
      </x:c>
      <x:c r="K44" s="42" t="str">
        <x:v>À automatiser</x:v>
      </x:c>
      <x:c r="L44" s="42" t="str">
        <x:v>Non exécuté</x:v>
      </x:c>
      <x:c r="M44" s="42" t="str"/>
    </x:row>
    <x:row r="45">
      <x:c r="A45" s="42" t="str">
        <x:v>TC-ENR-008-CTRL</x:v>
      </x:c>
      <x:c r="B45" s="42" t="str">
        <x:v>ENR-008</x:v>
      </x:c>
      <x:c r="C45" s="42" t="str">
        <x:v>US-ENR-008</x:v>
      </x:c>
      <x:c r="D45" s="42" t="str">
        <x:v>Enrôlement et adhésion</x:v>
      </x:c>
      <x:c r="E45" s="42" t="str">
        <x:v>Contrôle négatif</x:v>
      </x:c>
      <x:c r="F45" s="42" t="str">
        <x:v>Utilisateur non autorisé ou donnée invalide.</x:v>
      </x:c>
      <x:c r="G45" s="42" t="str">
        <x:v>1. Préparer un cas invalide. 2. Tenter l’opération. 3. Vérifier refus, message et absence d’effet secondaire.</x:v>
      </x:c>
      <x:c r="H45" s="42" t="str">
        <x:v>L’opération est refusée de manière sûre, sans altération des données, avec erreur corrélée et audit si applicable.</x:v>
      </x:c>
      <x:c r="I45" s="42" t="str">
        <x:v>Haute</x:v>
      </x:c>
      <x:c r="J45" s="42" t="str">
        <x:v>Synthétique invalide</x:v>
      </x:c>
      <x:c r="K45" s="42" t="str">
        <x:v>À automatiser</x:v>
      </x:c>
      <x:c r="L45" s="42" t="str">
        <x:v>Non exécuté</x:v>
      </x:c>
      <x:c r="M45" s="42" t="str"/>
    </x:row>
    <x:row r="46">
      <x:c r="A46" s="42" t="str">
        <x:v>TC-COT-001-NOM</x:v>
      </x:c>
      <x:c r="B46" s="42" t="str">
        <x:v>COT-001</x:v>
      </x:c>
      <x:c r="C46" s="42" t="str">
        <x:v>US-COT-001</x:v>
      </x:c>
      <x:c r="D46" s="42" t="str">
        <x:v>Cotisations et échéanciers</x:v>
      </x:c>
      <x:c r="E46" s="42" t="str">
        <x:v>Nominal</x:v>
      </x:c>
      <x:c r="F46" s="42" t="str">
        <x:v>Utilisateur authentifié, autorisé et données valides.</x:v>
      </x:c>
      <x:c r="G46" s="42" t="str">
        <x:v>1. Préparer les données. 2. Exécuter : Générer automatiquement les appels selon l’exercice et le barème. 3. Consulter le résultat et l’audit.</x:v>
      </x:c>
      <x:c r="H46" s="42" t="str">
        <x:v>Chaque membre éligible reçoit un appel unique et traçable.</x:v>
      </x:c>
      <x:c r="I46" s="42" t="str">
        <x:v>Critique</x:v>
      </x:c>
      <x:c r="J46" s="42" t="str">
        <x:v>Synthétique valide</x:v>
      </x:c>
      <x:c r="K46" s="42" t="str">
        <x:v>À automatiser</x:v>
      </x:c>
      <x:c r="L46" s="42" t="str">
        <x:v>Non exécuté</x:v>
      </x:c>
      <x:c r="M46" s="42" t="str"/>
    </x:row>
    <x:row r="47">
      <x:c r="A47" s="42" t="str">
        <x:v>TC-COT-001-CTRL</x:v>
      </x:c>
      <x:c r="B47" s="42" t="str">
        <x:v>COT-001</x:v>
      </x:c>
      <x:c r="C47" s="42" t="str">
        <x:v>US-COT-001</x:v>
      </x:c>
      <x:c r="D47" s="42" t="str">
        <x:v>Cotisations et échéanciers</x:v>
      </x:c>
      <x:c r="E47" s="42" t="str">
        <x:v>Contrôle négatif</x:v>
      </x:c>
      <x:c r="F47" s="42" t="str">
        <x:v>Utilisateur non autorisé ou donnée invalide.</x:v>
      </x:c>
      <x:c r="G47" s="42" t="str">
        <x:v>1. Préparer un cas invalide. 2. Tenter l’opération. 3. Vérifier refus, message et absence d’effet secondaire.</x:v>
      </x:c>
      <x:c r="H47" s="42" t="str">
        <x:v>L’opération est refusée de manière sûre, sans altération des données, avec erreur corrélée et audit si applicable.</x:v>
      </x:c>
      <x:c r="I47" s="42" t="str">
        <x:v>Haute</x:v>
      </x:c>
      <x:c r="J47" s="42" t="str">
        <x:v>Synthétique invalide</x:v>
      </x:c>
      <x:c r="K47" s="42" t="str">
        <x:v>À automatiser</x:v>
      </x:c>
      <x:c r="L47" s="42" t="str">
        <x:v>Non exécuté</x:v>
      </x:c>
      <x:c r="M47" s="42" t="str"/>
    </x:row>
    <x:row r="48">
      <x:c r="A48" s="42" t="str">
        <x:v>TC-COT-002-NOM</x:v>
      </x:c>
      <x:c r="B48" s="42" t="str">
        <x:v>COT-002</x:v>
      </x:c>
      <x:c r="C48" s="42" t="str">
        <x:v>US-COT-002</x:v>
      </x:c>
      <x:c r="D48" s="42" t="str">
        <x:v>Cotisations et échéanciers</x:v>
      </x:c>
      <x:c r="E48" s="42" t="str">
        <x:v>Nominal</x:v>
      </x:c>
      <x:c r="F48" s="42" t="str">
        <x:v>Utilisateur authentifié, autorisé et données valides.</x:v>
      </x:c>
      <x:c r="G48" s="42" t="str">
        <x:v>1. Préparer les données. 2. Exécuter : Soumettre une campagne d’appels à simulation puis validation. 3. Consulter le résultat et l’audit.</x:v>
      </x:c>
      <x:c r="H48" s="42" t="str">
        <x:v>Le total, les exceptions et écarts sont visibles avant émission.</x:v>
      </x:c>
      <x:c r="I48" s="42" t="str">
        <x:v>Critique</x:v>
      </x:c>
      <x:c r="J48" s="42" t="str">
        <x:v>Synthétique valide</x:v>
      </x:c>
      <x:c r="K48" s="42" t="str">
        <x:v>À automatiser</x:v>
      </x:c>
      <x:c r="L48" s="42" t="str">
        <x:v>Non exécuté</x:v>
      </x:c>
      <x:c r="M48" s="42" t="str"/>
    </x:row>
    <x:row r="49">
      <x:c r="A49" s="42" t="str">
        <x:v>TC-COT-002-CTRL</x:v>
      </x:c>
      <x:c r="B49" s="42" t="str">
        <x:v>COT-002</x:v>
      </x:c>
      <x:c r="C49" s="42" t="str">
        <x:v>US-COT-002</x:v>
      </x:c>
      <x:c r="D49" s="42" t="str">
        <x:v>Cotisations et échéanciers</x:v>
      </x:c>
      <x:c r="E49" s="42" t="str">
        <x:v>Contrôle négatif</x:v>
      </x:c>
      <x:c r="F49" s="42" t="str">
        <x:v>Utilisateur non autorisé ou donnée invalide.</x:v>
      </x:c>
      <x:c r="G49" s="42" t="str">
        <x:v>1. Préparer un cas invalide. 2. Tenter l’opération. 3. Vérifier refus, message et absence d’effet secondaire.</x:v>
      </x:c>
      <x:c r="H49" s="42" t="str">
        <x:v>L’opération est refusée de manière sûre, sans altération des données, avec erreur corrélée et audit si applicable.</x:v>
      </x:c>
      <x:c r="I49" s="42" t="str">
        <x:v>Haute</x:v>
      </x:c>
      <x:c r="J49" s="42" t="str">
        <x:v>Synthétique invalide</x:v>
      </x:c>
      <x:c r="K49" s="42" t="str">
        <x:v>À automatiser</x:v>
      </x:c>
      <x:c r="L49" s="42" t="str">
        <x:v>Non exécuté</x:v>
      </x:c>
      <x:c r="M49" s="42" t="str"/>
    </x:row>
    <x:row r="50">
      <x:c r="A50" s="42" t="str">
        <x:v>TC-COT-003-NOM</x:v>
      </x:c>
      <x:c r="B50" s="42" t="str">
        <x:v>COT-003</x:v>
      </x:c>
      <x:c r="C50" s="42" t="str">
        <x:v>US-COT-003</x:v>
      </x:c>
      <x:c r="D50" s="42" t="str">
        <x:v>Cotisations et échéanciers</x:v>
      </x:c>
      <x:c r="E50" s="42" t="str">
        <x:v>Nominal</x:v>
      </x:c>
      <x:c r="F50" s="42" t="str">
        <x:v>Utilisateur authentifié, autorisé et données valides.</x:v>
      </x:c>
      <x:c r="G50" s="42" t="str">
        <x:v>1. Préparer les données. 2. Exécuter : Émettre l’appel en PDF et via portail, e-mail, SMS ou push. 3. Consulter le résultat et l’audit.</x:v>
      </x:c>
      <x:c r="H50" s="42" t="str">
        <x:v>L’historique de diffusion indique canal, date et statut.</x:v>
      </x:c>
      <x:c r="I50" s="42" t="str">
        <x:v>Critique</x:v>
      </x:c>
      <x:c r="J50" s="42" t="str">
        <x:v>Synthétique valide</x:v>
      </x:c>
      <x:c r="K50" s="42" t="str">
        <x:v>À automatiser</x:v>
      </x:c>
      <x:c r="L50" s="42" t="str">
        <x:v>Non exécuté</x:v>
      </x:c>
      <x:c r="M50" s="42" t="str"/>
    </x:row>
    <x:row r="51">
      <x:c r="A51" s="42" t="str">
        <x:v>TC-COT-003-CTRL</x:v>
      </x:c>
      <x:c r="B51" s="42" t="str">
        <x:v>COT-003</x:v>
      </x:c>
      <x:c r="C51" s="42" t="str">
        <x:v>US-COT-003</x:v>
      </x:c>
      <x:c r="D51" s="42" t="str">
        <x:v>Cotisations et échéanciers</x:v>
      </x:c>
      <x:c r="E51" s="42" t="str">
        <x:v>Contrôle négatif</x:v>
      </x:c>
      <x:c r="F51" s="42" t="str">
        <x:v>Utilisateur non autorisé ou donnée invalide.</x:v>
      </x:c>
      <x:c r="G51" s="42" t="str">
        <x:v>1. Préparer un cas invalide. 2. Tenter l’opération. 3. Vérifier refus, message et absence d’effet secondaire.</x:v>
      </x:c>
      <x:c r="H51" s="42" t="str">
        <x:v>L’opération est refusée de manière sûre, sans altération des données, avec erreur corrélée et audit si applicable.</x:v>
      </x:c>
      <x:c r="I51" s="42" t="str">
        <x:v>Haute</x:v>
      </x:c>
      <x:c r="J51" s="42" t="str">
        <x:v>Synthétique invalide</x:v>
      </x:c>
      <x:c r="K51" s="42" t="str">
        <x:v>À automatiser</x:v>
      </x:c>
      <x:c r="L51" s="42" t="str">
        <x:v>Non exécuté</x:v>
      </x:c>
      <x:c r="M51" s="42" t="str"/>
    </x:row>
    <x:row r="52">
      <x:c r="A52" s="42" t="str">
        <x:v>TC-COT-004-NOM</x:v>
      </x:c>
      <x:c r="B52" s="42" t="str">
        <x:v>COT-004</x:v>
      </x:c>
      <x:c r="C52" s="42" t="str">
        <x:v>US-COT-004</x:v>
      </x:c>
      <x:c r="D52" s="42" t="str">
        <x:v>Cotisations et échéanciers</x:v>
      </x:c>
      <x:c r="E52" s="42" t="str">
        <x:v>Nominal</x:v>
      </x:c>
      <x:c r="F52" s="42" t="str">
        <x:v>Utilisateur authentifié, autorisé et données valides.</x:v>
      </x:c>
      <x:c r="G52" s="42" t="str">
        <x:v>1. Préparer les données. 2. Exécuter : Gérer les appels complémentaires, avoirs et annulations. 3. Consulter le résultat et l’audit.</x:v>
      </x:c>
      <x:c r="H52" s="42" t="str">
        <x:v>Chaque correction référence l’appel initial et exige un motif.</x:v>
      </x:c>
      <x:c r="I52" s="42" t="str">
        <x:v>Critique</x:v>
      </x:c>
      <x:c r="J52" s="42" t="str">
        <x:v>Synthétique valide</x:v>
      </x:c>
      <x:c r="K52" s="42" t="str">
        <x:v>À automatiser</x:v>
      </x:c>
      <x:c r="L52" s="42" t="str">
        <x:v>Non exécuté</x:v>
      </x:c>
      <x:c r="M52" s="42" t="str"/>
    </x:row>
    <x:row r="53">
      <x:c r="A53" s="42" t="str">
        <x:v>TC-COT-004-CTRL</x:v>
      </x:c>
      <x:c r="B53" s="42" t="str">
        <x:v>COT-004</x:v>
      </x:c>
      <x:c r="C53" s="42" t="str">
        <x:v>US-COT-004</x:v>
      </x:c>
      <x:c r="D53" s="42" t="str">
        <x:v>Cotisations et échéanciers</x:v>
      </x:c>
      <x:c r="E53" s="42" t="str">
        <x:v>Contrôle négatif</x:v>
      </x:c>
      <x:c r="F53" s="42" t="str">
        <x:v>Utilisateur non autorisé ou donnée invalide.</x:v>
      </x:c>
      <x:c r="G53" s="42" t="str">
        <x:v>1. Préparer un cas invalide. 2. Tenter l’opération. 3. Vérifier refus, message et absence d’effet secondaire.</x:v>
      </x:c>
      <x:c r="H53" s="42" t="str">
        <x:v>L’opération est refusée de manière sûre, sans altération des données, avec erreur corrélée et audit si applicable.</x:v>
      </x:c>
      <x:c r="I53" s="42" t="str">
        <x:v>Haute</x:v>
      </x:c>
      <x:c r="J53" s="42" t="str">
        <x:v>Synthétique invalide</x:v>
      </x:c>
      <x:c r="K53" s="42" t="str">
        <x:v>À automatiser</x:v>
      </x:c>
      <x:c r="L53" s="42" t="str">
        <x:v>Non exécuté</x:v>
      </x:c>
      <x:c r="M53" s="42" t="str"/>
    </x:row>
    <x:row r="54">
      <x:c r="A54" s="42" t="str">
        <x:v>TC-COT-005-NOM</x:v>
      </x:c>
      <x:c r="B54" s="42" t="str">
        <x:v>COT-005</x:v>
      </x:c>
      <x:c r="C54" s="42" t="str">
        <x:v>US-COT-005</x:v>
      </x:c>
      <x:c r="D54" s="42" t="str">
        <x:v>Cotisations et échéanciers</x:v>
      </x:c>
      <x:c r="E54" s="42" t="str">
        <x:v>Nominal</x:v>
      </x:c>
      <x:c r="F54" s="42" t="str">
        <x:v>Utilisateur authentifié, autorisé et données valides.</x:v>
      </x:c>
      <x:c r="G54" s="42" t="str">
        <x:v>1. Préparer les données. 2. Exécuter : Gérer les échéanciers et paiements partiels. 3. Consulter le résultat et l’audit.</x:v>
      </x:c>
      <x:c r="H54" s="42" t="str">
        <x:v>Le solde et la prochaine échéance sont recalculés en temps réel.</x:v>
      </x:c>
      <x:c r="I54" s="42" t="str">
        <x:v>Critique</x:v>
      </x:c>
      <x:c r="J54" s="42" t="str">
        <x:v>Synthétique valide</x:v>
      </x:c>
      <x:c r="K54" s="42" t="str">
        <x:v>À automatiser</x:v>
      </x:c>
      <x:c r="L54" s="42" t="str">
        <x:v>Non exécuté</x:v>
      </x:c>
      <x:c r="M54" s="42" t="str"/>
    </x:row>
    <x:row r="55">
      <x:c r="A55" s="42" t="str">
        <x:v>TC-COT-005-CTRL</x:v>
      </x:c>
      <x:c r="B55" s="42" t="str">
        <x:v>COT-005</x:v>
      </x:c>
      <x:c r="C55" s="42" t="str">
        <x:v>US-COT-005</x:v>
      </x:c>
      <x:c r="D55" s="42" t="str">
        <x:v>Cotisations et échéanciers</x:v>
      </x:c>
      <x:c r="E55" s="42" t="str">
        <x:v>Contrôle négatif</x:v>
      </x:c>
      <x:c r="F55" s="42" t="str">
        <x:v>Utilisateur non autorisé ou donnée invalide.</x:v>
      </x:c>
      <x:c r="G55" s="42" t="str">
        <x:v>1. Préparer un cas invalide. 2. Tenter l’opération. 3. Vérifier refus, message et absence d’effet secondaire.</x:v>
      </x:c>
      <x:c r="H55" s="42" t="str">
        <x:v>L’opération est refusée de manière sûre, sans altération des données, avec erreur corrélée et audit si applicable.</x:v>
      </x:c>
      <x:c r="I55" s="42" t="str">
        <x:v>Haute</x:v>
      </x:c>
      <x:c r="J55" s="42" t="str">
        <x:v>Synthétique invalide</x:v>
      </x:c>
      <x:c r="K55" s="42" t="str">
        <x:v>À automatiser</x:v>
      </x:c>
      <x:c r="L55" s="42" t="str">
        <x:v>Non exécuté</x:v>
      </x:c>
      <x:c r="M55" s="42" t="str"/>
    </x:row>
    <x:row r="56">
      <x:c r="A56" s="42" t="str">
        <x:v>TC-COT-006-NOM</x:v>
      </x:c>
      <x:c r="B56" s="42" t="str">
        <x:v>COT-006</x:v>
      </x:c>
      <x:c r="C56" s="42" t="str">
        <x:v>US-COT-006</x:v>
      </x:c>
      <x:c r="D56" s="42" t="str">
        <x:v>Cotisations et échéanciers</x:v>
      </x:c>
      <x:c r="E56" s="42" t="str">
        <x:v>Nominal</x:v>
      </x:c>
      <x:c r="F56" s="42" t="str">
        <x:v>Utilisateur authentifié, autorisé et données valides.</x:v>
      </x:c>
      <x:c r="G56" s="42" t="str">
        <x:v>1. Préparer les données. 2. Exécuter : Appliquer automatiquement la période de grâce et les pénalités. 3. Consulter le résultat et l’audit.</x:v>
      </x:c>
      <x:c r="H56" s="42" t="str">
        <x:v>Les règles sont versionnées et visibles dans le détail de calcul.</x:v>
      </x:c>
      <x:c r="I56" s="42" t="str">
        <x:v>Haute</x:v>
      </x:c>
      <x:c r="J56" s="42" t="str">
        <x:v>Synthétique valide</x:v>
      </x:c>
      <x:c r="K56" s="42" t="str">
        <x:v>À automatiser</x:v>
      </x:c>
      <x:c r="L56" s="42" t="str">
        <x:v>Non exécuté</x:v>
      </x:c>
      <x:c r="M56" s="42" t="str"/>
    </x:row>
    <x:row r="57">
      <x:c r="A57" s="42" t="str">
        <x:v>TC-COT-006-CTRL</x:v>
      </x:c>
      <x:c r="B57" s="42" t="str">
        <x:v>COT-006</x:v>
      </x:c>
      <x:c r="C57" s="42" t="str">
        <x:v>US-COT-006</x:v>
      </x:c>
      <x:c r="D57" s="42" t="str">
        <x:v>Cotisations et échéanciers</x:v>
      </x:c>
      <x:c r="E57" s="42" t="str">
        <x:v>Contrôle négatif</x:v>
      </x:c>
      <x:c r="F57" s="42" t="str">
        <x:v>Utilisateur non autorisé ou donnée invalide.</x:v>
      </x:c>
      <x:c r="G57" s="42" t="str">
        <x:v>1. Préparer un cas invalide. 2. Tenter l’opération. 3. Vérifier refus, message et absence d’effet secondaire.</x:v>
      </x:c>
      <x:c r="H57" s="42" t="str">
        <x:v>L’opération est refusée de manière sûre, sans altération des données, avec erreur corrélée et audit si applicable.</x:v>
      </x:c>
      <x:c r="I57" s="42" t="str">
        <x:v>Haute</x:v>
      </x:c>
      <x:c r="J57" s="42" t="str">
        <x:v>Synthétique invalide</x:v>
      </x:c>
      <x:c r="K57" s="42" t="str">
        <x:v>À automatiser</x:v>
      </x:c>
      <x:c r="L57" s="42" t="str">
        <x:v>Non exécuté</x:v>
      </x:c>
      <x:c r="M57" s="42" t="str"/>
    </x:row>
    <x:row r="58">
      <x:c r="A58" s="42" t="str">
        <x:v>TC-COT-007-NOM</x:v>
      </x:c>
      <x:c r="B58" s="42" t="str">
        <x:v>COT-007</x:v>
      </x:c>
      <x:c r="C58" s="42" t="str">
        <x:v>US-COT-007</x:v>
      </x:c>
      <x:c r="D58" s="42" t="str">
        <x:v>Cotisations et échéanciers</x:v>
      </x:c>
      <x:c r="E58" s="42" t="str">
        <x:v>Nominal</x:v>
      </x:c>
      <x:c r="F58" s="42" t="str">
        <x:v>Utilisateur authentifié, autorisé et données valides.</x:v>
      </x:c>
      <x:c r="G58" s="42" t="str">
        <x:v>1. Préparer les données. 2. Exécuter : Bloquer la modification d’un appel déjà payé sans workflow d’annulation. 3. Consulter le résultat et l’audit.</x:v>
      </x:c>
      <x:c r="H58" s="42" t="str">
        <x:v>Une opération corrective génère une écriture compensatrice.</x:v>
      </x:c>
      <x:c r="I58" s="42" t="str">
        <x:v>Critique</x:v>
      </x:c>
      <x:c r="J58" s="42" t="str">
        <x:v>Synthétique valide</x:v>
      </x:c>
      <x:c r="K58" s="42" t="str">
        <x:v>À automatiser</x:v>
      </x:c>
      <x:c r="L58" s="42" t="str">
        <x:v>Non exécuté</x:v>
      </x:c>
      <x:c r="M58" s="42" t="str"/>
    </x:row>
    <x:row r="59">
      <x:c r="A59" s="42" t="str">
        <x:v>TC-COT-007-CTRL</x:v>
      </x:c>
      <x:c r="B59" s="42" t="str">
        <x:v>COT-007</x:v>
      </x:c>
      <x:c r="C59" s="42" t="str">
        <x:v>US-COT-007</x:v>
      </x:c>
      <x:c r="D59" s="42" t="str">
        <x:v>Cotisations et échéanciers</x:v>
      </x:c>
      <x:c r="E59" s="42" t="str">
        <x:v>Contrôle négatif</x:v>
      </x:c>
      <x:c r="F59" s="42" t="str">
        <x:v>Utilisateur non autorisé ou donnée invalide.</x:v>
      </x:c>
      <x:c r="G59" s="42" t="str">
        <x:v>1. Préparer un cas invalide. 2. Tenter l’opération. 3. Vérifier refus, message et absence d’effet secondaire.</x:v>
      </x:c>
      <x:c r="H59" s="42" t="str">
        <x:v>L’opération est refusée de manière sûre, sans altération des données, avec erreur corrélée et audit si applicable.</x:v>
      </x:c>
      <x:c r="I59" s="42" t="str">
        <x:v>Haute</x:v>
      </x:c>
      <x:c r="J59" s="42" t="str">
        <x:v>Synthétique invalide</x:v>
      </x:c>
      <x:c r="K59" s="42" t="str">
        <x:v>À automatiser</x:v>
      </x:c>
      <x:c r="L59" s="42" t="str">
        <x:v>Non exécuté</x:v>
      </x:c>
      <x:c r="M59" s="42" t="str"/>
    </x:row>
    <x:row r="60">
      <x:c r="A60" s="42" t="str">
        <x:v>TC-COT-008-NOM</x:v>
      </x:c>
      <x:c r="B60" s="42" t="str">
        <x:v>COT-008</x:v>
      </x:c>
      <x:c r="C60" s="42" t="str">
        <x:v>US-COT-008</x:v>
      </x:c>
      <x:c r="D60" s="42" t="str">
        <x:v>Cotisations et échéanciers</x:v>
      </x:c>
      <x:c r="E60" s="42" t="str">
        <x:v>Nominal</x:v>
      </x:c>
      <x:c r="F60" s="42" t="str">
        <x:v>Utilisateur authentifié, autorisé et données valides.</x:v>
      </x:c>
      <x:c r="G60" s="42" t="str">
        <x:v>1. Préparer les données. 2. Exécuter : Produire une situation de compte certifiable à une date donnée. 3. Consulter le résultat et l’audit.</x:v>
      </x:c>
      <x:c r="H60" s="42" t="str">
        <x:v>Le document restitue appels, paiements, soldes et ajustements.</x:v>
      </x:c>
      <x:c r="I60" s="42" t="str">
        <x:v>Critique</x:v>
      </x:c>
      <x:c r="J60" s="42" t="str">
        <x:v>Synthétique valide</x:v>
      </x:c>
      <x:c r="K60" s="42" t="str">
        <x:v>À automatiser</x:v>
      </x:c>
      <x:c r="L60" s="42" t="str">
        <x:v>Non exécuté</x:v>
      </x:c>
      <x:c r="M60" s="42" t="str"/>
    </x:row>
    <x:row r="61">
      <x:c r="A61" s="42" t="str">
        <x:v>TC-COT-008-CTRL</x:v>
      </x:c>
      <x:c r="B61" s="42" t="str">
        <x:v>COT-008</x:v>
      </x:c>
      <x:c r="C61" s="42" t="str">
        <x:v>US-COT-008</x:v>
      </x:c>
      <x:c r="D61" s="42" t="str">
        <x:v>Cotisations et échéanciers</x:v>
      </x:c>
      <x:c r="E61" s="42" t="str">
        <x:v>Contrôle négatif</x:v>
      </x:c>
      <x:c r="F61" s="42" t="str">
        <x:v>Utilisateur non autorisé ou donnée invalide.</x:v>
      </x:c>
      <x:c r="G61" s="42" t="str">
        <x:v>1. Préparer un cas invalide. 2. Tenter l’opération. 3. Vérifier refus, message et absence d’effet secondaire.</x:v>
      </x:c>
      <x:c r="H61" s="42" t="str">
        <x:v>L’opération est refusée de manière sûre, sans altération des données, avec erreur corrélée et audit si applicable.</x:v>
      </x:c>
      <x:c r="I61" s="42" t="str">
        <x:v>Haute</x:v>
      </x:c>
      <x:c r="J61" s="42" t="str">
        <x:v>Synthétique invalide</x:v>
      </x:c>
      <x:c r="K61" s="42" t="str">
        <x:v>À automatiser</x:v>
      </x:c>
      <x:c r="L61" s="42" t="str">
        <x:v>Non exécuté</x:v>
      </x:c>
      <x:c r="M61" s="42" t="str"/>
    </x:row>
    <x:row r="62">
      <x:c r="A62" s="42" t="str">
        <x:v>TC-PAY-001-NOM</x:v>
      </x:c>
      <x:c r="B62" s="42" t="str">
        <x:v>PAY-001</x:v>
      </x:c>
      <x:c r="C62" s="42" t="str">
        <x:v>US-PAY-001</x:v>
      </x:c>
      <x:c r="D62" s="42" t="str">
        <x:v>Paiements et rapprochement</x:v>
      </x:c>
      <x:c r="E62" s="42" t="str">
        <x:v>Nominal</x:v>
      </x:c>
      <x:c r="F62" s="42" t="str">
        <x:v>Utilisateur authentifié, autorisé et données valides.</x:v>
      </x:c>
      <x:c r="G62" s="42" t="str">
        <x:v>1. Préparer les données. 2. Exécuter : Générer une référence de paiement unique et non prédictible. 3. Consulter le résultat et l’audit.</x:v>
      </x:c>
      <x:c r="H62" s="42" t="str">
        <x:v>La référence permet d’identifier membre, appel et canal sans exposer d’information sensible.</x:v>
      </x:c>
      <x:c r="I62" s="42" t="str">
        <x:v>Critique</x:v>
      </x:c>
      <x:c r="J62" s="42" t="str">
        <x:v>Synthétique valide</x:v>
      </x:c>
      <x:c r="K62" s="42" t="str">
        <x:v>À automatiser</x:v>
      </x:c>
      <x:c r="L62" s="42" t="str">
        <x:v>Non exécuté</x:v>
      </x:c>
      <x:c r="M62" s="42" t="str"/>
    </x:row>
    <x:row r="63">
      <x:c r="A63" s="42" t="str">
        <x:v>TC-PAY-001-CTRL</x:v>
      </x:c>
      <x:c r="B63" s="42" t="str">
        <x:v>PAY-001</x:v>
      </x:c>
      <x:c r="C63" s="42" t="str">
        <x:v>US-PAY-001</x:v>
      </x:c>
      <x:c r="D63" s="42" t="str">
        <x:v>Paiements et rapprochement</x:v>
      </x:c>
      <x:c r="E63" s="42" t="str">
        <x:v>Contrôle négatif</x:v>
      </x:c>
      <x:c r="F63" s="42" t="str">
        <x:v>Utilisateur non autorisé ou donnée invalide.</x:v>
      </x:c>
      <x:c r="G63" s="42" t="str">
        <x:v>1. Préparer un cas invalide. 2. Tenter l’opération. 3. Vérifier refus, message et absence d’effet secondaire.</x:v>
      </x:c>
      <x:c r="H63" s="42" t="str">
        <x:v>L’opération est refusée de manière sûre, sans altération des données, avec erreur corrélée et audit si applicable.</x:v>
      </x:c>
      <x:c r="I63" s="42" t="str">
        <x:v>Critique</x:v>
      </x:c>
      <x:c r="J63" s="42" t="str">
        <x:v>Synthétique invalide</x:v>
      </x:c>
      <x:c r="K63" s="42" t="str">
        <x:v>À automatiser</x:v>
      </x:c>
      <x:c r="L63" s="42" t="str">
        <x:v>Non exécuté</x:v>
      </x:c>
      <x:c r="M63" s="42" t="str"/>
    </x:row>
    <x:row r="64">
      <x:c r="A64" s="42" t="str">
        <x:v>TC-PAY-001-CRIT</x:v>
      </x:c>
      <x:c r="B64" s="42" t="str">
        <x:v>PAY-001</x:v>
      </x:c>
      <x:c r="C64" s="42" t="str">
        <x:v>US-PAY-001</x:v>
      </x:c>
      <x:c r="D64" s="42" t="str">
        <x:v>Paiements et rapprochement</x:v>
      </x:c>
      <x:c r="E64" s="42" t="str">
        <x:v>Critique / répétition</x:v>
      </x:c>
      <x:c r="F64" s="42" t="str">
        <x:v>Même requête rejouée ou opérations concurrentes.</x:v>
      </x:c>
      <x:c r="G64" s="42" t="str">
        <x:v>1. Exécuter l’opération. 2. Rejouer avec la même clé ou en concurrence. 3. Contrôler PostgreSQL et l’audit.</x:v>
      </x:c>
      <x:c r="H64" s="42" t="str">
        <x:v>Un seul effet métier est produit ; aucune double écriture, aucun contournement de permission et aucune incohérence.</x:v>
      </x:c>
      <x:c r="I64" s="42" t="str">
        <x:v>Critique</x:v>
      </x:c>
      <x:c r="J64" s="42" t="str">
        <x:v>Synthétique concurrence</x:v>
      </x:c>
      <x:c r="K64" s="42" t="str">
        <x:v>Obligatoire</x:v>
      </x:c>
      <x:c r="L64" s="42" t="str">
        <x:v>Non exécuté</x:v>
      </x:c>
      <x:c r="M64" s="42" t="str"/>
    </x:row>
    <x:row r="65">
      <x:c r="A65" s="42" t="str">
        <x:v>TC-PAY-002-NOM</x:v>
      </x:c>
      <x:c r="B65" s="42" t="str">
        <x:v>PAY-002</x:v>
      </x:c>
      <x:c r="C65" s="42" t="str">
        <x:v>US-PAY-002</x:v>
      </x:c>
      <x:c r="D65" s="42" t="str">
        <x:v>Paiements et rapprochement</x:v>
      </x:c>
      <x:c r="E65" s="42" t="str">
        <x:v>Nominal</x:v>
      </x:c>
      <x:c r="F65" s="42" t="str">
        <x:v>Utilisateur authentifié, autorisé et données valides.</x:v>
      </x:c>
      <x:c r="G65" s="42" t="str">
        <x:v>1. Préparer les données. 2. Exécuter : Recevoir les statuts des opérateurs via API sécurisée. 3. Consulter le résultat et l’audit.</x:v>
      </x:c>
      <x:c r="H65" s="42" t="str">
        <x:v>Chaque callback est authentifié, idempotent et journalisé.</x:v>
      </x:c>
      <x:c r="I65" s="42" t="str">
        <x:v>Critique</x:v>
      </x:c>
      <x:c r="J65" s="42" t="str">
        <x:v>Synthétique valide</x:v>
      </x:c>
      <x:c r="K65" s="42" t="str">
        <x:v>À automatiser</x:v>
      </x:c>
      <x:c r="L65" s="42" t="str">
        <x:v>Non exécuté</x:v>
      </x:c>
      <x:c r="M65" s="42" t="str"/>
    </x:row>
    <x:row r="66">
      <x:c r="A66" s="42" t="str">
        <x:v>TC-PAY-002-CTRL</x:v>
      </x:c>
      <x:c r="B66" s="42" t="str">
        <x:v>PAY-002</x:v>
      </x:c>
      <x:c r="C66" s="42" t="str">
        <x:v>US-PAY-002</x:v>
      </x:c>
      <x:c r="D66" s="42" t="str">
        <x:v>Paiements et rapprochement</x:v>
      </x:c>
      <x:c r="E66" s="42" t="str">
        <x:v>Contrôle négatif</x:v>
      </x:c>
      <x:c r="F66" s="42" t="str">
        <x:v>Utilisateur non autorisé ou donnée invalide.</x:v>
      </x:c>
      <x:c r="G66" s="42" t="str">
        <x:v>1. Préparer un cas invalide. 2. Tenter l’opération. 3. Vérifier refus, message et absence d’effet secondaire.</x:v>
      </x:c>
      <x:c r="H66" s="42" t="str">
        <x:v>L’opération est refusée de manière sûre, sans altération des données, avec erreur corrélée et audit si applicable.</x:v>
      </x:c>
      <x:c r="I66" s="42" t="str">
        <x:v>Critique</x:v>
      </x:c>
      <x:c r="J66" s="42" t="str">
        <x:v>Synthétique invalide</x:v>
      </x:c>
      <x:c r="K66" s="42" t="str">
        <x:v>À automatiser</x:v>
      </x:c>
      <x:c r="L66" s="42" t="str">
        <x:v>Non exécuté</x:v>
      </x:c>
      <x:c r="M66" s="42" t="str"/>
    </x:row>
    <x:row r="67">
      <x:c r="A67" s="42" t="str">
        <x:v>TC-PAY-002-CRIT</x:v>
      </x:c>
      <x:c r="B67" s="42" t="str">
        <x:v>PAY-002</x:v>
      </x:c>
      <x:c r="C67" s="42" t="str">
        <x:v>US-PAY-002</x:v>
      </x:c>
      <x:c r="D67" s="42" t="str">
        <x:v>Paiements et rapprochement</x:v>
      </x:c>
      <x:c r="E67" s="42" t="str">
        <x:v>Critique / répétition</x:v>
      </x:c>
      <x:c r="F67" s="42" t="str">
        <x:v>Même requête rejouée ou opérations concurrentes.</x:v>
      </x:c>
      <x:c r="G67" s="42" t="str">
        <x:v>1. Exécuter l’opération. 2. Rejouer avec la même clé ou en concurrence. 3. Contrôler PostgreSQL et l’audit.</x:v>
      </x:c>
      <x:c r="H67" s="42" t="str">
        <x:v>Un seul effet métier est produit ; aucune double écriture, aucun contournement de permission et aucune incohérence.</x:v>
      </x:c>
      <x:c r="I67" s="42" t="str">
        <x:v>Critique</x:v>
      </x:c>
      <x:c r="J67" s="42" t="str">
        <x:v>Synthétique concurrence</x:v>
      </x:c>
      <x:c r="K67" s="42" t="str">
        <x:v>Obligatoire</x:v>
      </x:c>
      <x:c r="L67" s="42" t="str">
        <x:v>Non exécuté</x:v>
      </x:c>
      <x:c r="M67" s="42" t="str"/>
    </x:row>
    <x:row r="68">
      <x:c r="A68" s="42" t="str">
        <x:v>TC-PAY-003-NOM</x:v>
      </x:c>
      <x:c r="B68" s="42" t="str">
        <x:v>PAY-003</x:v>
      </x:c>
      <x:c r="C68" s="42" t="str">
        <x:v>US-PAY-003</x:v>
      </x:c>
      <x:c r="D68" s="42" t="str">
        <x:v>Paiements et rapprochement</x:v>
      </x:c>
      <x:c r="E68" s="42" t="str">
        <x:v>Nominal</x:v>
      </x:c>
      <x:c r="F68" s="42" t="str">
        <x:v>Utilisateur authentifié, autorisé et données valides.</x:v>
      </x:c>
      <x:c r="G68" s="42" t="str">
        <x:v>1. Préparer les données. 2. Exécuter : Importer les relevés bancaires en formats configurables. 3. Consulter le résultat et l’audit.</x:v>
      </x:c>
      <x:c r="H68" s="42" t="str">
        <x:v>Le système détecte doublons, incohérences et lignes non imputées.</x:v>
      </x:c>
      <x:c r="I68" s="42" t="str">
        <x:v>Critique</x:v>
      </x:c>
      <x:c r="J68" s="42" t="str">
        <x:v>Synthétique valide</x:v>
      </x:c>
      <x:c r="K68" s="42" t="str">
        <x:v>À automatiser</x:v>
      </x:c>
      <x:c r="L68" s="42" t="str">
        <x:v>Non exécuté</x:v>
      </x:c>
      <x:c r="M68" s="42" t="str"/>
    </x:row>
    <x:row r="69">
      <x:c r="A69" s="42" t="str">
        <x:v>TC-PAY-003-CTRL</x:v>
      </x:c>
      <x:c r="B69" s="42" t="str">
        <x:v>PAY-003</x:v>
      </x:c>
      <x:c r="C69" s="42" t="str">
        <x:v>US-PAY-003</x:v>
      </x:c>
      <x:c r="D69" s="42" t="str">
        <x:v>Paiements et rapprochement</x:v>
      </x:c>
      <x:c r="E69" s="42" t="str">
        <x:v>Contrôle négatif</x:v>
      </x:c>
      <x:c r="F69" s="42" t="str">
        <x:v>Utilisateur non autorisé ou donnée invalide.</x:v>
      </x:c>
      <x:c r="G69" s="42" t="str">
        <x:v>1. Préparer un cas invalide. 2. Tenter l’opération. 3. Vérifier refus, message et absence d’effet secondaire.</x:v>
      </x:c>
      <x:c r="H69" s="42" t="str">
        <x:v>L’opération est refusée de manière sûre, sans altération des données, avec erreur corrélée et audit si applicable.</x:v>
      </x:c>
      <x:c r="I69" s="42" t="str">
        <x:v>Critique</x:v>
      </x:c>
      <x:c r="J69" s="42" t="str">
        <x:v>Synthétique invalide</x:v>
      </x:c>
      <x:c r="K69" s="42" t="str">
        <x:v>À automatiser</x:v>
      </x:c>
      <x:c r="L69" s="42" t="str">
        <x:v>Non exécuté</x:v>
      </x:c>
      <x:c r="M69" s="42" t="str"/>
    </x:row>
    <x:row r="70">
      <x:c r="A70" s="42" t="str">
        <x:v>TC-PAY-003-CRIT</x:v>
      </x:c>
      <x:c r="B70" s="42" t="str">
        <x:v>PAY-003</x:v>
      </x:c>
      <x:c r="C70" s="42" t="str">
        <x:v>US-PAY-003</x:v>
      </x:c>
      <x:c r="D70" s="42" t="str">
        <x:v>Paiements et rapprochement</x:v>
      </x:c>
      <x:c r="E70" s="42" t="str">
        <x:v>Critique / répétition</x:v>
      </x:c>
      <x:c r="F70" s="42" t="str">
        <x:v>Même requête rejouée ou opérations concurrentes.</x:v>
      </x:c>
      <x:c r="G70" s="42" t="str">
        <x:v>1. Exécuter l’opération. 2. Rejouer avec la même clé ou en concurrence. 3. Contrôler PostgreSQL et l’audit.</x:v>
      </x:c>
      <x:c r="H70" s="42" t="str">
        <x:v>Un seul effet métier est produit ; aucune double écriture, aucun contournement de permission et aucune incohérence.</x:v>
      </x:c>
      <x:c r="I70" s="42" t="str">
        <x:v>Critique</x:v>
      </x:c>
      <x:c r="J70" s="42" t="str">
        <x:v>Synthétique concurrence</x:v>
      </x:c>
      <x:c r="K70" s="42" t="str">
        <x:v>Obligatoire</x:v>
      </x:c>
      <x:c r="L70" s="42" t="str">
        <x:v>Non exécuté</x:v>
      </x:c>
      <x:c r="M70" s="42" t="str"/>
    </x:row>
    <x:row r="71">
      <x:c r="A71" s="42" t="str">
        <x:v>TC-PAY-004-NOM</x:v>
      </x:c>
      <x:c r="B71" s="42" t="str">
        <x:v>PAY-004</x:v>
      </x:c>
      <x:c r="C71" s="42" t="str">
        <x:v>US-PAY-004</x:v>
      </x:c>
      <x:c r="D71" s="42" t="str">
        <x:v>Paiements et rapprochement</x:v>
      </x:c>
      <x:c r="E71" s="42" t="str">
        <x:v>Nominal</x:v>
      </x:c>
      <x:c r="F71" s="42" t="str">
        <x:v>Utilisateur authentifié, autorisé et données valides.</x:v>
      </x:c>
      <x:c r="G71" s="42" t="str">
        <x:v>1. Préparer les données. 2. Exécuter : Rapprocher automatiquement par référence, montant, date et payeur. 3. Consulter le résultat et l’audit.</x:v>
      </x:c>
      <x:c r="H71" s="42" t="str">
        <x:v>Un score explique la proposition; le seuil est paramétrable.</x:v>
      </x:c>
      <x:c r="I71" s="42" t="str">
        <x:v>Critique</x:v>
      </x:c>
      <x:c r="J71" s="42" t="str">
        <x:v>Synthétique valide</x:v>
      </x:c>
      <x:c r="K71" s="42" t="str">
        <x:v>À automatiser</x:v>
      </x:c>
      <x:c r="L71" s="42" t="str">
        <x:v>Non exécuté</x:v>
      </x:c>
      <x:c r="M71" s="42" t="str"/>
    </x:row>
    <x:row r="72">
      <x:c r="A72" s="42" t="str">
        <x:v>TC-PAY-004-CTRL</x:v>
      </x:c>
      <x:c r="B72" s="42" t="str">
        <x:v>PAY-004</x:v>
      </x:c>
      <x:c r="C72" s="42" t="str">
        <x:v>US-PAY-004</x:v>
      </x:c>
      <x:c r="D72" s="42" t="str">
        <x:v>Paiements et rapprochement</x:v>
      </x:c>
      <x:c r="E72" s="42" t="str">
        <x:v>Contrôle négatif</x:v>
      </x:c>
      <x:c r="F72" s="42" t="str">
        <x:v>Utilisateur non autorisé ou donnée invalide.</x:v>
      </x:c>
      <x:c r="G72" s="42" t="str">
        <x:v>1. Préparer un cas invalide. 2. Tenter l’opération. 3. Vérifier refus, message et absence d’effet secondaire.</x:v>
      </x:c>
      <x:c r="H72" s="42" t="str">
        <x:v>L’opération est refusée de manière sûre, sans altération des données, avec erreur corrélée et audit si applicable.</x:v>
      </x:c>
      <x:c r="I72" s="42" t="str">
        <x:v>Critique</x:v>
      </x:c>
      <x:c r="J72" s="42" t="str">
        <x:v>Synthétique invalide</x:v>
      </x:c>
      <x:c r="K72" s="42" t="str">
        <x:v>À automatiser</x:v>
      </x:c>
      <x:c r="L72" s="42" t="str">
        <x:v>Non exécuté</x:v>
      </x:c>
      <x:c r="M72" s="42" t="str"/>
    </x:row>
    <x:row r="73">
      <x:c r="A73" s="42" t="str">
        <x:v>TC-PAY-004-CRIT</x:v>
      </x:c>
      <x:c r="B73" s="42" t="str">
        <x:v>PAY-004</x:v>
      </x:c>
      <x:c r="C73" s="42" t="str">
        <x:v>US-PAY-004</x:v>
      </x:c>
      <x:c r="D73" s="42" t="str">
        <x:v>Paiements et rapprochement</x:v>
      </x:c>
      <x:c r="E73" s="42" t="str">
        <x:v>Critique / répétition</x:v>
      </x:c>
      <x:c r="F73" s="42" t="str">
        <x:v>Même requête rejouée ou opérations concurrentes.</x:v>
      </x:c>
      <x:c r="G73" s="42" t="str">
        <x:v>1. Exécuter l’opération. 2. Rejouer avec la même clé ou en concurrence. 3. Contrôler PostgreSQL et l’audit.</x:v>
      </x:c>
      <x:c r="H73" s="42" t="str">
        <x:v>Un seul effet métier est produit ; aucune double écriture, aucun contournement de permission et aucune incohérence.</x:v>
      </x:c>
      <x:c r="I73" s="42" t="str">
        <x:v>Critique</x:v>
      </x:c>
      <x:c r="J73" s="42" t="str">
        <x:v>Synthétique concurrence</x:v>
      </x:c>
      <x:c r="K73" s="42" t="str">
        <x:v>Obligatoire</x:v>
      </x:c>
      <x:c r="L73" s="42" t="str">
        <x:v>Non exécuté</x:v>
      </x:c>
      <x:c r="M73" s="42" t="str"/>
    </x:row>
    <x:row r="74">
      <x:c r="A74" s="42" t="str">
        <x:v>TC-PAY-005-NOM</x:v>
      </x:c>
      <x:c r="B74" s="42" t="str">
        <x:v>PAY-005</x:v>
      </x:c>
      <x:c r="C74" s="42" t="str">
        <x:v>US-PAY-005</x:v>
      </x:c>
      <x:c r="D74" s="42" t="str">
        <x:v>Paiements et rapprochement</x:v>
      </x:c>
      <x:c r="E74" s="42" t="str">
        <x:v>Nominal</x:v>
      </x:c>
      <x:c r="F74" s="42" t="str">
        <x:v>Utilisateur authentifié, autorisé et données valides.</x:v>
      </x:c>
      <x:c r="G74" s="42" t="str">
        <x:v>1. Préparer les données. 2. Exécuter : Présenter une file de rapprochement manuel. 3. Consulter le résultat et l’audit.</x:v>
      </x:c>
      <x:c r="H74" s="42" t="str">
        <x:v>L’agent voit preuve, candidat, écarts et historique avant décision.</x:v>
      </x:c>
      <x:c r="I74" s="42" t="str">
        <x:v>Critique</x:v>
      </x:c>
      <x:c r="J74" s="42" t="str">
        <x:v>Synthétique valide</x:v>
      </x:c>
      <x:c r="K74" s="42" t="str">
        <x:v>À automatiser</x:v>
      </x:c>
      <x:c r="L74" s="42" t="str">
        <x:v>Non exécuté</x:v>
      </x:c>
      <x:c r="M74" s="42" t="str"/>
    </x:row>
    <x:row r="75">
      <x:c r="A75" s="42" t="str">
        <x:v>TC-PAY-005-CTRL</x:v>
      </x:c>
      <x:c r="B75" s="42" t="str">
        <x:v>PAY-005</x:v>
      </x:c>
      <x:c r="C75" s="42" t="str">
        <x:v>US-PAY-005</x:v>
      </x:c>
      <x:c r="D75" s="42" t="str">
        <x:v>Paiements et rapprochement</x:v>
      </x:c>
      <x:c r="E75" s="42" t="str">
        <x:v>Contrôle négatif</x:v>
      </x:c>
      <x:c r="F75" s="42" t="str">
        <x:v>Utilisateur non autorisé ou donnée invalide.</x:v>
      </x:c>
      <x:c r="G75" s="42" t="str">
        <x:v>1. Préparer un cas invalide. 2. Tenter l’opération. 3. Vérifier refus, message et absence d’effet secondaire.</x:v>
      </x:c>
      <x:c r="H75" s="42" t="str">
        <x:v>L’opération est refusée de manière sûre, sans altération des données, avec erreur corrélée et audit si applicable.</x:v>
      </x:c>
      <x:c r="I75" s="42" t="str">
        <x:v>Critique</x:v>
      </x:c>
      <x:c r="J75" s="42" t="str">
        <x:v>Synthétique invalide</x:v>
      </x:c>
      <x:c r="K75" s="42" t="str">
        <x:v>À automatiser</x:v>
      </x:c>
      <x:c r="L75" s="42" t="str">
        <x:v>Non exécuté</x:v>
      </x:c>
      <x:c r="M75" s="42" t="str"/>
    </x:row>
    <x:row r="76">
      <x:c r="A76" s="42" t="str">
        <x:v>TC-PAY-005-CRIT</x:v>
      </x:c>
      <x:c r="B76" s="42" t="str">
        <x:v>PAY-005</x:v>
      </x:c>
      <x:c r="C76" s="42" t="str">
        <x:v>US-PAY-005</x:v>
      </x:c>
      <x:c r="D76" s="42" t="str">
        <x:v>Paiements et rapprochement</x:v>
      </x:c>
      <x:c r="E76" s="42" t="str">
        <x:v>Critique / répétition</x:v>
      </x:c>
      <x:c r="F76" s="42" t="str">
        <x:v>Même requête rejouée ou opérations concurrentes.</x:v>
      </x:c>
      <x:c r="G76" s="42" t="str">
        <x:v>1. Exécuter l’opération. 2. Rejouer avec la même clé ou en concurrence. 3. Contrôler PostgreSQL et l’audit.</x:v>
      </x:c>
      <x:c r="H76" s="42" t="str">
        <x:v>Un seul effet métier est produit ; aucune double écriture, aucun contournement de permission et aucune incohérence.</x:v>
      </x:c>
      <x:c r="I76" s="42" t="str">
        <x:v>Critique</x:v>
      </x:c>
      <x:c r="J76" s="42" t="str">
        <x:v>Synthétique concurrence</x:v>
      </x:c>
      <x:c r="K76" s="42" t="str">
        <x:v>Obligatoire</x:v>
      </x:c>
      <x:c r="L76" s="42" t="str">
        <x:v>Non exécuté</x:v>
      </x:c>
      <x:c r="M76" s="42" t="str"/>
    </x:row>
    <x:row r="77">
      <x:c r="A77" s="42" t="str">
        <x:v>TC-PAY-006-NOM</x:v>
      </x:c>
      <x:c r="B77" s="42" t="str">
        <x:v>PAY-006</x:v>
      </x:c>
      <x:c r="C77" s="42" t="str">
        <x:v>US-PAY-006</x:v>
      </x:c>
      <x:c r="D77" s="42" t="str">
        <x:v>Paiements et rapprochement</x:v>
      </x:c>
      <x:c r="E77" s="42" t="str">
        <x:v>Nominal</x:v>
      </x:c>
      <x:c r="F77" s="42" t="str">
        <x:v>Utilisateur authentifié, autorisé et données valides.</x:v>
      </x:c>
      <x:c r="G77" s="42" t="str">
        <x:v>1. Préparer les données. 2. Exécuter : Gérer trop-perçus, sous-paiements, remboursements et rejets. 3. Consulter le résultat et l’audit.</x:v>
      </x:c>
      <x:c r="H77" s="42" t="str">
        <x:v>Chaque cas suit un workflow comptable et laisse une piste d’audit.</x:v>
      </x:c>
      <x:c r="I77" s="42" t="str">
        <x:v>Critique</x:v>
      </x:c>
      <x:c r="J77" s="42" t="str">
        <x:v>Synthétique valide</x:v>
      </x:c>
      <x:c r="K77" s="42" t="str">
        <x:v>À automatiser</x:v>
      </x:c>
      <x:c r="L77" s="42" t="str">
        <x:v>Non exécuté</x:v>
      </x:c>
      <x:c r="M77" s="42" t="str"/>
    </x:row>
    <x:row r="78">
      <x:c r="A78" s="42" t="str">
        <x:v>TC-PAY-006-CTRL</x:v>
      </x:c>
      <x:c r="B78" s="42" t="str">
        <x:v>PAY-006</x:v>
      </x:c>
      <x:c r="C78" s="42" t="str">
        <x:v>US-PAY-006</x:v>
      </x:c>
      <x:c r="D78" s="42" t="str">
        <x:v>Paiements et rapprochement</x:v>
      </x:c>
      <x:c r="E78" s="42" t="str">
        <x:v>Contrôle négatif</x:v>
      </x:c>
      <x:c r="F78" s="42" t="str">
        <x:v>Utilisateur non autorisé ou donnée invalide.</x:v>
      </x:c>
      <x:c r="G78" s="42" t="str">
        <x:v>1. Préparer un cas invalide. 2. Tenter l’opération. 3. Vérifier refus, message et absence d’effet secondaire.</x:v>
      </x:c>
      <x:c r="H78" s="42" t="str">
        <x:v>L’opération est refusée de manière sûre, sans altération des données, avec erreur corrélée et audit si applicable.</x:v>
      </x:c>
      <x:c r="I78" s="42" t="str">
        <x:v>Critique</x:v>
      </x:c>
      <x:c r="J78" s="42" t="str">
        <x:v>Synthétique invalide</x:v>
      </x:c>
      <x:c r="K78" s="42" t="str">
        <x:v>À automatiser</x:v>
      </x:c>
      <x:c r="L78" s="42" t="str">
        <x:v>Non exécuté</x:v>
      </x:c>
      <x:c r="M78" s="42" t="str"/>
    </x:row>
    <x:row r="79">
      <x:c r="A79" s="42" t="str">
        <x:v>TC-PAY-006-CRIT</x:v>
      </x:c>
      <x:c r="B79" s="42" t="str">
        <x:v>PAY-006</x:v>
      </x:c>
      <x:c r="C79" s="42" t="str">
        <x:v>US-PAY-006</x:v>
      </x:c>
      <x:c r="D79" s="42" t="str">
        <x:v>Paiements et rapprochement</x:v>
      </x:c>
      <x:c r="E79" s="42" t="str">
        <x:v>Critique / répétition</x:v>
      </x:c>
      <x:c r="F79" s="42" t="str">
        <x:v>Même requête rejouée ou opérations concurrentes.</x:v>
      </x:c>
      <x:c r="G79" s="42" t="str">
        <x:v>1. Exécuter l’opération. 2. Rejouer avec la même clé ou en concurrence. 3. Contrôler PostgreSQL et l’audit.</x:v>
      </x:c>
      <x:c r="H79" s="42" t="str">
        <x:v>Un seul effet métier est produit ; aucune double écriture, aucun contournement de permission et aucune incohérence.</x:v>
      </x:c>
      <x:c r="I79" s="42" t="str">
        <x:v>Critique</x:v>
      </x:c>
      <x:c r="J79" s="42" t="str">
        <x:v>Synthétique concurrence</x:v>
      </x:c>
      <x:c r="K79" s="42" t="str">
        <x:v>Obligatoire</x:v>
      </x:c>
      <x:c r="L79" s="42" t="str">
        <x:v>Non exécuté</x:v>
      </x:c>
      <x:c r="M79" s="42" t="str"/>
    </x:row>
    <x:row r="80">
      <x:c r="A80" s="42" t="str">
        <x:v>TC-PAY-007-NOM</x:v>
      </x:c>
      <x:c r="B80" s="42" t="str">
        <x:v>PAY-007</x:v>
      </x:c>
      <x:c r="C80" s="42" t="str">
        <x:v>US-PAY-007</x:v>
      </x:c>
      <x:c r="D80" s="42" t="str">
        <x:v>Paiements et rapprochement</x:v>
      </x:c>
      <x:c r="E80" s="42" t="str">
        <x:v>Nominal</x:v>
      </x:c>
      <x:c r="F80" s="42" t="str">
        <x:v>Utilisateur authentifié, autorisé et données valides.</x:v>
      </x:c>
      <x:c r="G80" s="42" t="str">
        <x:v>1. Préparer les données. 2. Exécuter : Empêcher la double confirmation d’une transaction. 3. Consulter le résultat et l’audit.</x:v>
      </x:c>
      <x:c r="H80" s="42" t="str">
        <x:v>Les clés d’idempotence et contrôles d’unicité bloquent le doublon.</x:v>
      </x:c>
      <x:c r="I80" s="42" t="str">
        <x:v>Critique</x:v>
      </x:c>
      <x:c r="J80" s="42" t="str">
        <x:v>Synthétique valide</x:v>
      </x:c>
      <x:c r="K80" s="42" t="str">
        <x:v>À automatiser</x:v>
      </x:c>
      <x:c r="L80" s="42" t="str">
        <x:v>Non exécuté</x:v>
      </x:c>
      <x:c r="M80" s="42" t="str"/>
    </x:row>
    <x:row r="81">
      <x:c r="A81" s="42" t="str">
        <x:v>TC-PAY-007-CTRL</x:v>
      </x:c>
      <x:c r="B81" s="42" t="str">
        <x:v>PAY-007</x:v>
      </x:c>
      <x:c r="C81" s="42" t="str">
        <x:v>US-PAY-007</x:v>
      </x:c>
      <x:c r="D81" s="42" t="str">
        <x:v>Paiements et rapprochement</x:v>
      </x:c>
      <x:c r="E81" s="42" t="str">
        <x:v>Contrôle négatif</x:v>
      </x:c>
      <x:c r="F81" s="42" t="str">
        <x:v>Utilisateur non autorisé ou donnée invalide.</x:v>
      </x:c>
      <x:c r="G81" s="42" t="str">
        <x:v>1. Préparer un cas invalide. 2. Tenter l’opération. 3. Vérifier refus, message et absence d’effet secondaire.</x:v>
      </x:c>
      <x:c r="H81" s="42" t="str">
        <x:v>L’opération est refusée de manière sûre, sans altération des données, avec erreur corrélée et audit si applicable.</x:v>
      </x:c>
      <x:c r="I81" s="42" t="str">
        <x:v>Critique</x:v>
      </x:c>
      <x:c r="J81" s="42" t="str">
        <x:v>Synthétique invalide</x:v>
      </x:c>
      <x:c r="K81" s="42" t="str">
        <x:v>À automatiser</x:v>
      </x:c>
      <x:c r="L81" s="42" t="str">
        <x:v>Non exécuté</x:v>
      </x:c>
      <x:c r="M81" s="42" t="str"/>
    </x:row>
    <x:row r="82">
      <x:c r="A82" s="42" t="str">
        <x:v>TC-PAY-007-CRIT</x:v>
      </x:c>
      <x:c r="B82" s="42" t="str">
        <x:v>PAY-007</x:v>
      </x:c>
      <x:c r="C82" s="42" t="str">
        <x:v>US-PAY-007</x:v>
      </x:c>
      <x:c r="D82" s="42" t="str">
        <x:v>Paiements et rapprochement</x:v>
      </x:c>
      <x:c r="E82" s="42" t="str">
        <x:v>Critique / répétition</x:v>
      </x:c>
      <x:c r="F82" s="42" t="str">
        <x:v>Même requête rejouée ou opérations concurrentes.</x:v>
      </x:c>
      <x:c r="G82" s="42" t="str">
        <x:v>1. Exécuter l’opération. 2. Rejouer avec la même clé ou en concurrence. 3. Contrôler PostgreSQL et l’audit.</x:v>
      </x:c>
      <x:c r="H82" s="42" t="str">
        <x:v>Un seul effet métier est produit ; aucune double écriture, aucun contournement de permission et aucune incohérence.</x:v>
      </x:c>
      <x:c r="I82" s="42" t="str">
        <x:v>Critique</x:v>
      </x:c>
      <x:c r="J82" s="42" t="str">
        <x:v>Synthétique concurrence</x:v>
      </x:c>
      <x:c r="K82" s="42" t="str">
        <x:v>Obligatoire</x:v>
      </x:c>
      <x:c r="L82" s="42" t="str">
        <x:v>Non exécuté</x:v>
      </x:c>
      <x:c r="M82" s="42" t="str"/>
    </x:row>
    <x:row r="83">
      <x:c r="A83" s="42" t="str">
        <x:v>TC-PAY-008-NOM</x:v>
      </x:c>
      <x:c r="B83" s="42" t="str">
        <x:v>PAY-008</x:v>
      </x:c>
      <x:c r="C83" s="42" t="str">
        <x:v>US-PAY-008</x:v>
      </x:c>
      <x:c r="D83" s="42" t="str">
        <x:v>Paiements et rapprochement</x:v>
      </x:c>
      <x:c r="E83" s="42" t="str">
        <x:v>Nominal</x:v>
      </x:c>
      <x:c r="F83" s="42" t="str">
        <x:v>Utilisateur authentifié, autorisé et données valides.</x:v>
      </x:c>
      <x:c r="G83" s="42" t="str">
        <x:v>1. Préparer les données. 2. Exécuter : Alerter sur les anomalies et paiements suspects. 3. Consulter le résultat et l’audit.</x:v>
      </x:c>
      <x:c r="H83" s="42" t="str">
        <x:v>Règles : montant inhabituel, canal incohérent, répétition, modification de compte.</x:v>
      </x:c>
      <x:c r="I83" s="42" t="str">
        <x:v>Haute</x:v>
      </x:c>
      <x:c r="J83" s="42" t="str">
        <x:v>Synthétique valide</x:v>
      </x:c>
      <x:c r="K83" s="42" t="str">
        <x:v>À automatiser</x:v>
      </x:c>
      <x:c r="L83" s="42" t="str">
        <x:v>Non exécuté</x:v>
      </x:c>
      <x:c r="M83" s="42" t="str"/>
    </x:row>
    <x:row r="84">
      <x:c r="A84" s="42" t="str">
        <x:v>TC-PAY-008-CTRL</x:v>
      </x:c>
      <x:c r="B84" s="42" t="str">
        <x:v>PAY-008</x:v>
      </x:c>
      <x:c r="C84" s="42" t="str">
        <x:v>US-PAY-008</x:v>
      </x:c>
      <x:c r="D84" s="42" t="str">
        <x:v>Paiements et rapprochement</x:v>
      </x:c>
      <x:c r="E84" s="42" t="str">
        <x:v>Contrôle négatif</x:v>
      </x:c>
      <x:c r="F84" s="42" t="str">
        <x:v>Utilisateur non autorisé ou donnée invalide.</x:v>
      </x:c>
      <x:c r="G84" s="42" t="str">
        <x:v>1. Préparer un cas invalide. 2. Tenter l’opération. 3. Vérifier refus, message et absence d’effet secondaire.</x:v>
      </x:c>
      <x:c r="H84" s="42" t="str">
        <x:v>L’opération est refusée de manière sûre, sans altération des données, avec erreur corrélée et audit si applicable.</x:v>
      </x:c>
      <x:c r="I84" s="42" t="str">
        <x:v>Critique</x:v>
      </x:c>
      <x:c r="J84" s="42" t="str">
        <x:v>Synthétique invalide</x:v>
      </x:c>
      <x:c r="K84" s="42" t="str">
        <x:v>À automatiser</x:v>
      </x:c>
      <x:c r="L84" s="42" t="str">
        <x:v>Non exécuté</x:v>
      </x:c>
      <x:c r="M84" s="42" t="str"/>
    </x:row>
    <x:row r="85">
      <x:c r="A85" s="42" t="str">
        <x:v>TC-PAY-008-CRIT</x:v>
      </x:c>
      <x:c r="B85" s="42" t="str">
        <x:v>PAY-008</x:v>
      </x:c>
      <x:c r="C85" s="42" t="str">
        <x:v>US-PAY-008</x:v>
      </x:c>
      <x:c r="D85" s="42" t="str">
        <x:v>Paiements et rapprochement</x:v>
      </x:c>
      <x:c r="E85" s="42" t="str">
        <x:v>Critique / répétition</x:v>
      </x:c>
      <x:c r="F85" s="42" t="str">
        <x:v>Même requête rejouée ou opérations concurrentes.</x:v>
      </x:c>
      <x:c r="G85" s="42" t="str">
        <x:v>1. Exécuter l’opération. 2. Rejouer avec la même clé ou en concurrence. 3. Contrôler PostgreSQL et l’audit.</x:v>
      </x:c>
      <x:c r="H85" s="42" t="str">
        <x:v>Un seul effet métier est produit ; aucune double écriture, aucun contournement de permission et aucune incohérence.</x:v>
      </x:c>
      <x:c r="I85" s="42" t="str">
        <x:v>Critique</x:v>
      </x:c>
      <x:c r="J85" s="42" t="str">
        <x:v>Synthétique concurrence</x:v>
      </x:c>
      <x:c r="K85" s="42" t="str">
        <x:v>Obligatoire</x:v>
      </x:c>
      <x:c r="L85" s="42" t="str">
        <x:v>Non exécuté</x:v>
      </x:c>
      <x:c r="M85" s="42" t="str"/>
    </x:row>
    <x:row r="86">
      <x:c r="A86" s="42" t="str">
        <x:v>TC-REC-001-NOM</x:v>
      </x:c>
      <x:c r="B86" s="42" t="str">
        <x:v>REC-001</x:v>
      </x:c>
      <x:c r="C86" s="42" t="str">
        <x:v>US-REC-001</x:v>
      </x:c>
      <x:c r="D86" s="42" t="str">
        <x:v>Reçus et attestations</x:v>
      </x:c>
      <x:c r="E86" s="42" t="str">
        <x:v>Nominal</x:v>
      </x:c>
      <x:c r="F86" s="42" t="str">
        <x:v>Utilisateur authentifié, autorisé et données valides.</x:v>
      </x:c>
      <x:c r="G86" s="42" t="str">
        <x:v>1. Préparer les données. 2. Exécuter : Émettre un reçu uniquement après confirmation CNPM. 3. Consulter le résultat et l’audit.</x:v>
      </x:c>
      <x:c r="H86" s="42" t="str">
        <x:v>Aucun reçu officiel ne peut être produit sur paiement non confirmé.</x:v>
      </x:c>
      <x:c r="I86" s="42" t="str">
        <x:v>Critique</x:v>
      </x:c>
      <x:c r="J86" s="42" t="str">
        <x:v>Synthétique valide</x:v>
      </x:c>
      <x:c r="K86" s="42" t="str">
        <x:v>À automatiser</x:v>
      </x:c>
      <x:c r="L86" s="42" t="str">
        <x:v>Non exécuté</x:v>
      </x:c>
      <x:c r="M86" s="42" t="str"/>
    </x:row>
    <x:row r="87">
      <x:c r="A87" s="42" t="str">
        <x:v>TC-REC-001-CTRL</x:v>
      </x:c>
      <x:c r="B87" s="42" t="str">
        <x:v>REC-001</x:v>
      </x:c>
      <x:c r="C87" s="42" t="str">
        <x:v>US-REC-001</x:v>
      </x:c>
      <x:c r="D87" s="42" t="str">
        <x:v>Reçus et attestations</x:v>
      </x:c>
      <x:c r="E87" s="42" t="str">
        <x:v>Contrôle négatif</x:v>
      </x:c>
      <x:c r="F87" s="42" t="str">
        <x:v>Utilisateur non autorisé ou donnée invalide.</x:v>
      </x:c>
      <x:c r="G87" s="42" t="str">
        <x:v>1. Préparer un cas invalide. 2. Tenter l’opération. 3. Vérifier refus, message et absence d’effet secondaire.</x:v>
      </x:c>
      <x:c r="H87" s="42" t="str">
        <x:v>L’opération est refusée de manière sûre, sans altération des données, avec erreur corrélée et audit si applicable.</x:v>
      </x:c>
      <x:c r="I87" s="42" t="str">
        <x:v>Critique</x:v>
      </x:c>
      <x:c r="J87" s="42" t="str">
        <x:v>Synthétique invalide</x:v>
      </x:c>
      <x:c r="K87" s="42" t="str">
        <x:v>À automatiser</x:v>
      </x:c>
      <x:c r="L87" s="42" t="str">
        <x:v>Non exécuté</x:v>
      </x:c>
      <x:c r="M87" s="42" t="str"/>
    </x:row>
    <x:row r="88">
      <x:c r="A88" s="42" t="str">
        <x:v>TC-REC-001-CRIT</x:v>
      </x:c>
      <x:c r="B88" s="42" t="str">
        <x:v>REC-001</x:v>
      </x:c>
      <x:c r="C88" s="42" t="str">
        <x:v>US-REC-001</x:v>
      </x:c>
      <x:c r="D88" s="42" t="str">
        <x:v>Reçus et attestations</x:v>
      </x:c>
      <x:c r="E88" s="42" t="str">
        <x:v>Critique / répétition</x:v>
      </x:c>
      <x:c r="F88" s="42" t="str">
        <x:v>Même requête rejouée ou opérations concurrentes.</x:v>
      </x:c>
      <x:c r="G88" s="42" t="str">
        <x:v>1. Exécuter l’opération. 2. Rejouer avec la même clé ou en concurrence. 3. Contrôler PostgreSQL et l’audit.</x:v>
      </x:c>
      <x:c r="H88" s="42" t="str">
        <x:v>Un seul effet métier est produit ; aucune double écriture, aucun contournement de permission et aucune incohérence.</x:v>
      </x:c>
      <x:c r="I88" s="42" t="str">
        <x:v>Critique</x:v>
      </x:c>
      <x:c r="J88" s="42" t="str">
        <x:v>Synthétique concurrence</x:v>
      </x:c>
      <x:c r="K88" s="42" t="str">
        <x:v>Obligatoire</x:v>
      </x:c>
      <x:c r="L88" s="42" t="str">
        <x:v>Non exécuté</x:v>
      </x:c>
      <x:c r="M88" s="42" t="str"/>
    </x:row>
    <x:row r="89">
      <x:c r="A89" s="42" t="str">
        <x:v>TC-REC-002-NOM</x:v>
      </x:c>
      <x:c r="B89" s="42" t="str">
        <x:v>REC-002</x:v>
      </x:c>
      <x:c r="C89" s="42" t="str">
        <x:v>US-REC-002</x:v>
      </x:c>
      <x:c r="D89" s="42" t="str">
        <x:v>Reçus et attestations</x:v>
      </x:c>
      <x:c r="E89" s="42" t="str">
        <x:v>Nominal</x:v>
      </x:c>
      <x:c r="F89" s="42" t="str">
        <x:v>Utilisateur authentifié, autorisé et données valides.</x:v>
      </x:c>
      <x:c r="G89" s="42" t="str">
        <x:v>1. Préparer les données. 2. Exécuter : Inclure numéro unique, membre, montant, période, canal, date et signature. 3. Consulter le résultat et l’audit.</x:v>
      </x:c>
      <x:c r="H89" s="42" t="str">
        <x:v>Le PDF contient toutes les mentions obligatoires et le logo CNPM.</x:v>
      </x:c>
      <x:c r="I89" s="42" t="str">
        <x:v>Critique</x:v>
      </x:c>
      <x:c r="J89" s="42" t="str">
        <x:v>Synthétique valide</x:v>
      </x:c>
      <x:c r="K89" s="42" t="str">
        <x:v>À automatiser</x:v>
      </x:c>
      <x:c r="L89" s="42" t="str">
        <x:v>Non exécuté</x:v>
      </x:c>
      <x:c r="M89" s="42" t="str"/>
    </x:row>
    <x:row r="90">
      <x:c r="A90" s="42" t="str">
        <x:v>TC-REC-002-CTRL</x:v>
      </x:c>
      <x:c r="B90" s="42" t="str">
        <x:v>REC-002</x:v>
      </x:c>
      <x:c r="C90" s="42" t="str">
        <x:v>US-REC-002</x:v>
      </x:c>
      <x:c r="D90" s="42" t="str">
        <x:v>Reçus et attestations</x:v>
      </x:c>
      <x:c r="E90" s="42" t="str">
        <x:v>Contrôle négatif</x:v>
      </x:c>
      <x:c r="F90" s="42" t="str">
        <x:v>Utilisateur non autorisé ou donnée invalide.</x:v>
      </x:c>
      <x:c r="G90" s="42" t="str">
        <x:v>1. Préparer un cas invalide. 2. Tenter l’opération. 3. Vérifier refus, message et absence d’effet secondaire.</x:v>
      </x:c>
      <x:c r="H90" s="42" t="str">
        <x:v>L’opération est refusée de manière sûre, sans altération des données, avec erreur corrélée et audit si applicable.</x:v>
      </x:c>
      <x:c r="I90" s="42" t="str">
        <x:v>Critique</x:v>
      </x:c>
      <x:c r="J90" s="42" t="str">
        <x:v>Synthétique invalide</x:v>
      </x:c>
      <x:c r="K90" s="42" t="str">
        <x:v>À automatiser</x:v>
      </x:c>
      <x:c r="L90" s="42" t="str">
        <x:v>Non exécuté</x:v>
      </x:c>
      <x:c r="M90" s="42" t="str"/>
    </x:row>
    <x:row r="91">
      <x:c r="A91" s="42" t="str">
        <x:v>TC-REC-002-CRIT</x:v>
      </x:c>
      <x:c r="B91" s="42" t="str">
        <x:v>REC-002</x:v>
      </x:c>
      <x:c r="C91" s="42" t="str">
        <x:v>US-REC-002</x:v>
      </x:c>
      <x:c r="D91" s="42" t="str">
        <x:v>Reçus et attestations</x:v>
      </x:c>
      <x:c r="E91" s="42" t="str">
        <x:v>Critique / répétition</x:v>
      </x:c>
      <x:c r="F91" s="42" t="str">
        <x:v>Même requête rejouée ou opérations concurrentes.</x:v>
      </x:c>
      <x:c r="G91" s="42" t="str">
        <x:v>1. Exécuter l’opération. 2. Rejouer avec la même clé ou en concurrence. 3. Contrôler PostgreSQL et l’audit.</x:v>
      </x:c>
      <x:c r="H91" s="42" t="str">
        <x:v>Un seul effet métier est produit ; aucune double écriture, aucun contournement de permission et aucune incohérence.</x:v>
      </x:c>
      <x:c r="I91" s="42" t="str">
        <x:v>Critique</x:v>
      </x:c>
      <x:c r="J91" s="42" t="str">
        <x:v>Synthétique concurrence</x:v>
      </x:c>
      <x:c r="K91" s="42" t="str">
        <x:v>Obligatoire</x:v>
      </x:c>
      <x:c r="L91" s="42" t="str">
        <x:v>Non exécuté</x:v>
      </x:c>
      <x:c r="M91" s="42" t="str"/>
    </x:row>
    <x:row r="92">
      <x:c r="A92" s="42" t="str">
        <x:v>TC-REC-003-NOM</x:v>
      </x:c>
      <x:c r="B92" s="42" t="str">
        <x:v>REC-003</x:v>
      </x:c>
      <x:c r="C92" s="42" t="str">
        <x:v>US-REC-003</x:v>
      </x:c>
      <x:c r="D92" s="42" t="str">
        <x:v>Reçus et attestations</x:v>
      </x:c>
      <x:c r="E92" s="42" t="str">
        <x:v>Nominal</x:v>
      </x:c>
      <x:c r="F92" s="42" t="str">
        <x:v>Utilisateur authentifié, autorisé et données valides.</x:v>
      </x:c>
      <x:c r="G92" s="42" t="str">
        <x:v>1. Préparer les données. 2. Exécuter : Signer électroniquement et apposer un QR de vérification. 3. Consulter le résultat et l’audit.</x:v>
      </x:c>
      <x:c r="H92" s="42" t="str">
        <x:v>Le QR valide l’authenticité sans exposer de données confidentielles.</x:v>
      </x:c>
      <x:c r="I92" s="42" t="str">
        <x:v>Haute</x:v>
      </x:c>
      <x:c r="J92" s="42" t="str">
        <x:v>Synthétique valide</x:v>
      </x:c>
      <x:c r="K92" s="42" t="str">
        <x:v>À automatiser</x:v>
      </x:c>
      <x:c r="L92" s="42" t="str">
        <x:v>Non exécuté</x:v>
      </x:c>
      <x:c r="M92" s="42" t="str"/>
    </x:row>
    <x:row r="93">
      <x:c r="A93" s="42" t="str">
        <x:v>TC-REC-003-CTRL</x:v>
      </x:c>
      <x:c r="B93" s="42" t="str">
        <x:v>REC-003</x:v>
      </x:c>
      <x:c r="C93" s="42" t="str">
        <x:v>US-REC-003</x:v>
      </x:c>
      <x:c r="D93" s="42" t="str">
        <x:v>Reçus et attestations</x:v>
      </x:c>
      <x:c r="E93" s="42" t="str">
        <x:v>Contrôle négatif</x:v>
      </x:c>
      <x:c r="F93" s="42" t="str">
        <x:v>Utilisateur non autorisé ou donnée invalide.</x:v>
      </x:c>
      <x:c r="G93" s="42" t="str">
        <x:v>1. Préparer un cas invalide. 2. Tenter l’opération. 3. Vérifier refus, message et absence d’effet secondaire.</x:v>
      </x:c>
      <x:c r="H93" s="42" t="str">
        <x:v>L’opération est refusée de manière sûre, sans altération des données, avec erreur corrélée et audit si applicable.</x:v>
      </x:c>
      <x:c r="I93" s="42" t="str">
        <x:v>Critique</x:v>
      </x:c>
      <x:c r="J93" s="42" t="str">
        <x:v>Synthétique invalide</x:v>
      </x:c>
      <x:c r="K93" s="42" t="str">
        <x:v>À automatiser</x:v>
      </x:c>
      <x:c r="L93" s="42" t="str">
        <x:v>Non exécuté</x:v>
      </x:c>
      <x:c r="M93" s="42" t="str"/>
    </x:row>
    <x:row r="94">
      <x:c r="A94" s="42" t="str">
        <x:v>TC-REC-003-CRIT</x:v>
      </x:c>
      <x:c r="B94" s="42" t="str">
        <x:v>REC-003</x:v>
      </x:c>
      <x:c r="C94" s="42" t="str">
        <x:v>US-REC-003</x:v>
      </x:c>
      <x:c r="D94" s="42" t="str">
        <x:v>Reçus et attestations</x:v>
      </x:c>
      <x:c r="E94" s="42" t="str">
        <x:v>Critique / répétition</x:v>
      </x:c>
      <x:c r="F94" s="42" t="str">
        <x:v>Même requête rejouée ou opérations concurrentes.</x:v>
      </x:c>
      <x:c r="G94" s="42" t="str">
        <x:v>1. Exécuter l’opération. 2. Rejouer avec la même clé ou en concurrence. 3. Contrôler PostgreSQL et l’audit.</x:v>
      </x:c>
      <x:c r="H94" s="42" t="str">
        <x:v>Un seul effet métier est produit ; aucune double écriture, aucun contournement de permission et aucune incohérence.</x:v>
      </x:c>
      <x:c r="I94" s="42" t="str">
        <x:v>Critique</x:v>
      </x:c>
      <x:c r="J94" s="42" t="str">
        <x:v>Synthétique concurrence</x:v>
      </x:c>
      <x:c r="K94" s="42" t="str">
        <x:v>Obligatoire</x:v>
      </x:c>
      <x:c r="L94" s="42" t="str">
        <x:v>Non exécuté</x:v>
      </x:c>
      <x:c r="M94" s="42" t="str"/>
    </x:row>
    <x:row r="95">
      <x:c r="A95" s="42" t="str">
        <x:v>TC-REC-004-NOM</x:v>
      </x:c>
      <x:c r="B95" s="42" t="str">
        <x:v>REC-004</x:v>
      </x:c>
      <x:c r="C95" s="42" t="str">
        <x:v>US-REC-004</x:v>
      </x:c>
      <x:c r="D95" s="42" t="str">
        <x:v>Reçus et attestations</x:v>
      </x:c>
      <x:c r="E95" s="42" t="str">
        <x:v>Nominal</x:v>
      </x:c>
      <x:c r="F95" s="42" t="str">
        <x:v>Utilisateur authentifié, autorisé et données valides.</x:v>
      </x:c>
      <x:c r="G95" s="42" t="str">
        <x:v>1. Préparer les données. 2. Exécuter : Notifier le membre par portail, e-mail, SMS et/ou push. 3. Consulter le résultat et l’audit.</x:v>
      </x:c>
      <x:c r="H95" s="42" t="str">
        <x:v>Le statut de livraison est conservé.</x:v>
      </x:c>
      <x:c r="I95" s="42" t="str">
        <x:v>Critique</x:v>
      </x:c>
      <x:c r="J95" s="42" t="str">
        <x:v>Synthétique valide</x:v>
      </x:c>
      <x:c r="K95" s="42" t="str">
        <x:v>À automatiser</x:v>
      </x:c>
      <x:c r="L95" s="42" t="str">
        <x:v>Non exécuté</x:v>
      </x:c>
      <x:c r="M95" s="42" t="str"/>
    </x:row>
    <x:row r="96">
      <x:c r="A96" s="42" t="str">
        <x:v>TC-REC-004-CTRL</x:v>
      </x:c>
      <x:c r="B96" s="42" t="str">
        <x:v>REC-004</x:v>
      </x:c>
      <x:c r="C96" s="42" t="str">
        <x:v>US-REC-004</x:v>
      </x:c>
      <x:c r="D96" s="42" t="str">
        <x:v>Reçus et attestations</x:v>
      </x:c>
      <x:c r="E96" s="42" t="str">
        <x:v>Contrôle négatif</x:v>
      </x:c>
      <x:c r="F96" s="42" t="str">
        <x:v>Utilisateur non autorisé ou donnée invalide.</x:v>
      </x:c>
      <x:c r="G96" s="42" t="str">
        <x:v>1. Préparer un cas invalide. 2. Tenter l’opération. 3. Vérifier refus, message et absence d’effet secondaire.</x:v>
      </x:c>
      <x:c r="H96" s="42" t="str">
        <x:v>L’opération est refusée de manière sûre, sans altération des données, avec erreur corrélée et audit si applicable.</x:v>
      </x:c>
      <x:c r="I96" s="42" t="str">
        <x:v>Critique</x:v>
      </x:c>
      <x:c r="J96" s="42" t="str">
        <x:v>Synthétique invalide</x:v>
      </x:c>
      <x:c r="K96" s="42" t="str">
        <x:v>À automatiser</x:v>
      </x:c>
      <x:c r="L96" s="42" t="str">
        <x:v>Non exécuté</x:v>
      </x:c>
      <x:c r="M96" s="42" t="str"/>
    </x:row>
    <x:row r="97">
      <x:c r="A97" s="42" t="str">
        <x:v>TC-REC-004-CRIT</x:v>
      </x:c>
      <x:c r="B97" s="42" t="str">
        <x:v>REC-004</x:v>
      </x:c>
      <x:c r="C97" s="42" t="str">
        <x:v>US-REC-004</x:v>
      </x:c>
      <x:c r="D97" s="42" t="str">
        <x:v>Reçus et attestations</x:v>
      </x:c>
      <x:c r="E97" s="42" t="str">
        <x:v>Critique / répétition</x:v>
      </x:c>
      <x:c r="F97" s="42" t="str">
        <x:v>Même requête rejouée ou opérations concurrentes.</x:v>
      </x:c>
      <x:c r="G97" s="42" t="str">
        <x:v>1. Exécuter l’opération. 2. Rejouer avec la même clé ou en concurrence. 3. Contrôler PostgreSQL et l’audit.</x:v>
      </x:c>
      <x:c r="H97" s="42" t="str">
        <x:v>Un seul effet métier est produit ; aucune double écriture, aucun contournement de permission et aucune incohérence.</x:v>
      </x:c>
      <x:c r="I97" s="42" t="str">
        <x:v>Critique</x:v>
      </x:c>
      <x:c r="J97" s="42" t="str">
        <x:v>Synthétique concurrence</x:v>
      </x:c>
      <x:c r="K97" s="42" t="str">
        <x:v>Obligatoire</x:v>
      </x:c>
      <x:c r="L97" s="42" t="str">
        <x:v>Non exécuté</x:v>
      </x:c>
      <x:c r="M97" s="42" t="str"/>
    </x:row>
    <x:row r="98">
      <x:c r="A98" s="42" t="str">
        <x:v>TC-REC-005-NOM</x:v>
      </x:c>
      <x:c r="B98" s="42" t="str">
        <x:v>REC-005</x:v>
      </x:c>
      <x:c r="C98" s="42" t="str">
        <x:v>US-REC-005</x:v>
      </x:c>
      <x:c r="D98" s="42" t="str">
        <x:v>Reçus et attestations</x:v>
      </x:c>
      <x:c r="E98" s="42" t="str">
        <x:v>Nominal</x:v>
      </x:c>
      <x:c r="F98" s="42" t="str">
        <x:v>Utilisateur authentifié, autorisé et données valides.</x:v>
      </x:c>
      <x:c r="G98" s="42" t="str">
        <x:v>1. Préparer les données. 2. Exécuter : Annuler/remplacer un reçu via workflow contrôlé. 3. Consulter le résultat et l’audit.</x:v>
      </x:c>
      <x:c r="H98" s="42" t="str">
        <x:v>Le reçu annulé reste archivé et la version de remplacement le référence.</x:v>
      </x:c>
      <x:c r="I98" s="42" t="str">
        <x:v>Critique</x:v>
      </x:c>
      <x:c r="J98" s="42" t="str">
        <x:v>Synthétique valide</x:v>
      </x:c>
      <x:c r="K98" s="42" t="str">
        <x:v>À automatiser</x:v>
      </x:c>
      <x:c r="L98" s="42" t="str">
        <x:v>Non exécuté</x:v>
      </x:c>
      <x:c r="M98" s="42" t="str"/>
    </x:row>
    <x:row r="99">
      <x:c r="A99" s="42" t="str">
        <x:v>TC-REC-005-CTRL</x:v>
      </x:c>
      <x:c r="B99" s="42" t="str">
        <x:v>REC-005</x:v>
      </x:c>
      <x:c r="C99" s="42" t="str">
        <x:v>US-REC-005</x:v>
      </x:c>
      <x:c r="D99" s="42" t="str">
        <x:v>Reçus et attestations</x:v>
      </x:c>
      <x:c r="E99" s="42" t="str">
        <x:v>Contrôle négatif</x:v>
      </x:c>
      <x:c r="F99" s="42" t="str">
        <x:v>Utilisateur non autorisé ou donnée invalide.</x:v>
      </x:c>
      <x:c r="G99" s="42" t="str">
        <x:v>1. Préparer un cas invalide. 2. Tenter l’opération. 3. Vérifier refus, message et absence d’effet secondaire.</x:v>
      </x:c>
      <x:c r="H99" s="42" t="str">
        <x:v>L’opération est refusée de manière sûre, sans altération des données, avec erreur corrélée et audit si applicable.</x:v>
      </x:c>
      <x:c r="I99" s="42" t="str">
        <x:v>Critique</x:v>
      </x:c>
      <x:c r="J99" s="42" t="str">
        <x:v>Synthétique invalide</x:v>
      </x:c>
      <x:c r="K99" s="42" t="str">
        <x:v>À automatiser</x:v>
      </x:c>
      <x:c r="L99" s="42" t="str">
        <x:v>Non exécuté</x:v>
      </x:c>
      <x:c r="M99" s="42" t="str"/>
    </x:row>
    <x:row r="100">
      <x:c r="A100" s="42" t="str">
        <x:v>TC-REC-005-CRIT</x:v>
      </x:c>
      <x:c r="B100" s="42" t="str">
        <x:v>REC-005</x:v>
      </x:c>
      <x:c r="C100" s="42" t="str">
        <x:v>US-REC-005</x:v>
      </x:c>
      <x:c r="D100" s="42" t="str">
        <x:v>Reçus et attestations</x:v>
      </x:c>
      <x:c r="E100" s="42" t="str">
        <x:v>Critique / répétition</x:v>
      </x:c>
      <x:c r="F100" s="42" t="str">
        <x:v>Même requête rejouée ou opérations concurrentes.</x:v>
      </x:c>
      <x:c r="G100" s="42" t="str">
        <x:v>1. Exécuter l’opération. 2. Rejouer avec la même clé ou en concurrence. 3. Contrôler PostgreSQL et l’audit.</x:v>
      </x:c>
      <x:c r="H100" s="42" t="str">
        <x:v>Un seul effet métier est produit ; aucune double écriture, aucun contournement de permission et aucune incohérence.</x:v>
      </x:c>
      <x:c r="I100" s="42" t="str">
        <x:v>Critique</x:v>
      </x:c>
      <x:c r="J100" s="42" t="str">
        <x:v>Synthétique concurrence</x:v>
      </x:c>
      <x:c r="K100" s="42" t="str">
        <x:v>Obligatoire</x:v>
      </x:c>
      <x:c r="L100" s="42" t="str">
        <x:v>Non exécuté</x:v>
      </x:c>
      <x:c r="M100" s="42" t="str"/>
    </x:row>
    <x:row r="101">
      <x:c r="A101" s="42" t="str">
        <x:v>TC-REC-006-NOM</x:v>
      </x:c>
      <x:c r="B101" s="42" t="str">
        <x:v>REC-006</x:v>
      </x:c>
      <x:c r="C101" s="42" t="str">
        <x:v>US-REC-006</x:v>
      </x:c>
      <x:c r="D101" s="42" t="str">
        <x:v>Reçus et attestations</x:v>
      </x:c>
      <x:c r="E101" s="42" t="str">
        <x:v>Nominal</x:v>
      </x:c>
      <x:c r="F101" s="42" t="str">
        <x:v>Utilisateur authentifié, autorisé et données valides.</x:v>
      </x:c>
      <x:c r="G101" s="42" t="str">
        <x:v>1. Préparer les données. 2. Exécuter : Permettre la vérification publique limitée d’un reçu. 3. Consulter le résultat et l’audit.</x:v>
      </x:c>
      <x:c r="H101" s="42" t="str">
        <x:v>La page confirme authenticité, statut et montant sans données excessives.</x:v>
      </x:c>
      <x:c r="I101" s="42" t="str">
        <x:v>Haute</x:v>
      </x:c>
      <x:c r="J101" s="42" t="str">
        <x:v>Synthétique valide</x:v>
      </x:c>
      <x:c r="K101" s="42" t="str">
        <x:v>À automatiser</x:v>
      </x:c>
      <x:c r="L101" s="42" t="str">
        <x:v>Non exécuté</x:v>
      </x:c>
      <x:c r="M101" s="42" t="str"/>
    </x:row>
    <x:row r="102">
      <x:c r="A102" s="42" t="str">
        <x:v>TC-REC-006-CTRL</x:v>
      </x:c>
      <x:c r="B102" s="42" t="str">
        <x:v>REC-006</x:v>
      </x:c>
      <x:c r="C102" s="42" t="str">
        <x:v>US-REC-006</x:v>
      </x:c>
      <x:c r="D102" s="42" t="str">
        <x:v>Reçus et attestations</x:v>
      </x:c>
      <x:c r="E102" s="42" t="str">
        <x:v>Contrôle négatif</x:v>
      </x:c>
      <x:c r="F102" s="42" t="str">
        <x:v>Utilisateur non autorisé ou donnée invalide.</x:v>
      </x:c>
      <x:c r="G102" s="42" t="str">
        <x:v>1. Préparer un cas invalide. 2. Tenter l’opération. 3. Vérifier refus, message et absence d’effet secondaire.</x:v>
      </x:c>
      <x:c r="H102" s="42" t="str">
        <x:v>L’opération est refusée de manière sûre, sans altération des données, avec erreur corrélée et audit si applicable.</x:v>
      </x:c>
      <x:c r="I102" s="42" t="str">
        <x:v>Critique</x:v>
      </x:c>
      <x:c r="J102" s="42" t="str">
        <x:v>Synthétique invalide</x:v>
      </x:c>
      <x:c r="K102" s="42" t="str">
        <x:v>À automatiser</x:v>
      </x:c>
      <x:c r="L102" s="42" t="str">
        <x:v>Non exécuté</x:v>
      </x:c>
      <x:c r="M102" s="42" t="str"/>
    </x:row>
    <x:row r="103">
      <x:c r="A103" s="42" t="str">
        <x:v>TC-REC-006-CRIT</x:v>
      </x:c>
      <x:c r="B103" s="42" t="str">
        <x:v>REC-006</x:v>
      </x:c>
      <x:c r="C103" s="42" t="str">
        <x:v>US-REC-006</x:v>
      </x:c>
      <x:c r="D103" s="42" t="str">
        <x:v>Reçus et attestations</x:v>
      </x:c>
      <x:c r="E103" s="42" t="str">
        <x:v>Critique / répétition</x:v>
      </x:c>
      <x:c r="F103" s="42" t="str">
        <x:v>Même requête rejouée ou opérations concurrentes.</x:v>
      </x:c>
      <x:c r="G103" s="42" t="str">
        <x:v>1. Exécuter l’opération. 2. Rejouer avec la même clé ou en concurrence. 3. Contrôler PostgreSQL et l’audit.</x:v>
      </x:c>
      <x:c r="H103" s="42" t="str">
        <x:v>Un seul effet métier est produit ; aucune double écriture, aucun contournement de permission et aucune incohérence.</x:v>
      </x:c>
      <x:c r="I103" s="42" t="str">
        <x:v>Critique</x:v>
      </x:c>
      <x:c r="J103" s="42" t="str">
        <x:v>Synthétique concurrence</x:v>
      </x:c>
      <x:c r="K103" s="42" t="str">
        <x:v>Obligatoire</x:v>
      </x:c>
      <x:c r="L103" s="42" t="str">
        <x:v>Non exécuté</x:v>
      </x:c>
      <x:c r="M103" s="42" t="str"/>
    </x:row>
    <x:row r="104">
      <x:c r="A104" s="42" t="str">
        <x:v>TC-REL-001-NOM</x:v>
      </x:c>
      <x:c r="B104" s="42" t="str">
        <x:v>REL-001</x:v>
      </x:c>
      <x:c r="C104" s="42" t="str">
        <x:v>US-REL-001</x:v>
      </x:c>
      <x:c r="D104" s="42" t="str">
        <x:v>Recouvrement et relances</x:v>
      </x:c>
      <x:c r="E104" s="42" t="str">
        <x:v>Nominal</x:v>
      </x:c>
      <x:c r="F104" s="42" t="str">
        <x:v>Utilisateur authentifié, autorisé et données valides.</x:v>
      </x:c>
      <x:c r="G104" s="42" t="str">
        <x:v>1. Préparer les données. 2. Exécuter : Configurer des séquences par événement, délai, canal et segment. 3. Consulter le résultat et l’audit.</x:v>
      </x:c>
      <x:c r="H104" s="42" t="str">
        <x:v>Exemple : J-15 e-mail, J-7 SMS, J+3 appel, J+15 courrier.</x:v>
      </x:c>
      <x:c r="I104" s="42" t="str">
        <x:v>Critique</x:v>
      </x:c>
      <x:c r="J104" s="42" t="str">
        <x:v>Synthétique valide</x:v>
      </x:c>
      <x:c r="K104" s="42" t="str">
        <x:v>À automatiser</x:v>
      </x:c>
      <x:c r="L104" s="42" t="str">
        <x:v>Non exécuté</x:v>
      </x:c>
      <x:c r="M104" s="42" t="str"/>
    </x:row>
    <x:row r="105">
      <x:c r="A105" s="42" t="str">
        <x:v>TC-REL-001-CTRL</x:v>
      </x:c>
      <x:c r="B105" s="42" t="str">
        <x:v>REL-001</x:v>
      </x:c>
      <x:c r="C105" s="42" t="str">
        <x:v>US-REL-001</x:v>
      </x:c>
      <x:c r="D105" s="42" t="str">
        <x:v>Recouvrement et relances</x:v>
      </x:c>
      <x:c r="E105" s="42" t="str">
        <x:v>Contrôle négatif</x:v>
      </x:c>
      <x:c r="F105" s="42" t="str">
        <x:v>Utilisateur non autorisé ou donnée invalide.</x:v>
      </x:c>
      <x:c r="G105" s="42" t="str">
        <x:v>1. Préparer un cas invalide. 2. Tenter l’opération. 3. Vérifier refus, message et absence d’effet secondaire.</x:v>
      </x:c>
      <x:c r="H105" s="42" t="str">
        <x:v>L’opération est refusée de manière sûre, sans altération des données, avec erreur corrélée et audit si applicable.</x:v>
      </x:c>
      <x:c r="I105" s="42" t="str">
        <x:v>Haute</x:v>
      </x:c>
      <x:c r="J105" s="42" t="str">
        <x:v>Synthétique invalide</x:v>
      </x:c>
      <x:c r="K105" s="42" t="str">
        <x:v>À automatiser</x:v>
      </x:c>
      <x:c r="L105" s="42" t="str">
        <x:v>Non exécuté</x:v>
      </x:c>
      <x:c r="M105" s="42" t="str"/>
    </x:row>
    <x:row r="106">
      <x:c r="A106" s="42" t="str">
        <x:v>TC-REL-002-NOM</x:v>
      </x:c>
      <x:c r="B106" s="42" t="str">
        <x:v>REL-002</x:v>
      </x:c>
      <x:c r="C106" s="42" t="str">
        <x:v>US-REL-002</x:v>
      </x:c>
      <x:c r="D106" s="42" t="str">
        <x:v>Recouvrement et relances</x:v>
      </x:c>
      <x:c r="E106" s="42" t="str">
        <x:v>Nominal</x:v>
      </x:c>
      <x:c r="F106" s="42" t="str">
        <x:v>Utilisateur authentifié, autorisé et données valides.</x:v>
      </x:c>
      <x:c r="G106" s="42" t="str">
        <x:v>1. Préparer les données. 2. Exécuter : Personnaliser les messages avec données membre et solde. 3. Consulter le résultat et l’audit.</x:v>
      </x:c>
      <x:c r="H106" s="42" t="str">
        <x:v>Les modèles affichent un aperçu avant envoi.</x:v>
      </x:c>
      <x:c r="I106" s="42" t="str">
        <x:v>Critique</x:v>
      </x:c>
      <x:c r="J106" s="42" t="str">
        <x:v>Synthétique valide</x:v>
      </x:c>
      <x:c r="K106" s="42" t="str">
        <x:v>À automatiser</x:v>
      </x:c>
      <x:c r="L106" s="42" t="str">
        <x:v>Non exécuté</x:v>
      </x:c>
      <x:c r="M106" s="42" t="str"/>
    </x:row>
    <x:row r="107">
      <x:c r="A107" s="42" t="str">
        <x:v>TC-REL-002-CTRL</x:v>
      </x:c>
      <x:c r="B107" s="42" t="str">
        <x:v>REL-002</x:v>
      </x:c>
      <x:c r="C107" s="42" t="str">
        <x:v>US-REL-002</x:v>
      </x:c>
      <x:c r="D107" s="42" t="str">
        <x:v>Recouvrement et relances</x:v>
      </x:c>
      <x:c r="E107" s="42" t="str">
        <x:v>Contrôle négatif</x:v>
      </x:c>
      <x:c r="F107" s="42" t="str">
        <x:v>Utilisateur non autorisé ou donnée invalide.</x:v>
      </x:c>
      <x:c r="G107" s="42" t="str">
        <x:v>1. Préparer un cas invalide. 2. Tenter l’opération. 3. Vérifier refus, message et absence d’effet secondaire.</x:v>
      </x:c>
      <x:c r="H107" s="42" t="str">
        <x:v>L’opération est refusée de manière sûre, sans altération des données, avec erreur corrélée et audit si applicable.</x:v>
      </x:c>
      <x:c r="I107" s="42" t="str">
        <x:v>Haute</x:v>
      </x:c>
      <x:c r="J107" s="42" t="str">
        <x:v>Synthétique invalide</x:v>
      </x:c>
      <x:c r="K107" s="42" t="str">
        <x:v>À automatiser</x:v>
      </x:c>
      <x:c r="L107" s="42" t="str">
        <x:v>Non exécuté</x:v>
      </x:c>
      <x:c r="M107" s="42" t="str"/>
    </x:row>
    <x:row r="108">
      <x:c r="A108" s="42" t="str">
        <x:v>TC-REL-003-NOM</x:v>
      </x:c>
      <x:c r="B108" s="42" t="str">
        <x:v>REL-003</x:v>
      </x:c>
      <x:c r="C108" s="42" t="str">
        <x:v>US-REL-003</x:v>
      </x:c>
      <x:c r="D108" s="42" t="str">
        <x:v>Recouvrement et relances</x:v>
      </x:c>
      <x:c r="E108" s="42" t="str">
        <x:v>Nominal</x:v>
      </x:c>
      <x:c r="F108" s="42" t="str">
        <x:v>Utilisateur authentifié, autorisé et données valides.</x:v>
      </x:c>
      <x:c r="G108" s="42" t="str">
        <x:v>1. Préparer les données. 2. Exécuter : Gérer les consentements et préférences de communication. 3. Consulter le résultat et l’audit.</x:v>
      </x:c>
      <x:c r="H108" s="42" t="str">
        <x:v>Le canal non autorisé n’est jamais utilisé, sauf obligation légale.</x:v>
      </x:c>
      <x:c r="I108" s="42" t="str">
        <x:v>Critique</x:v>
      </x:c>
      <x:c r="J108" s="42" t="str">
        <x:v>Synthétique valide</x:v>
      </x:c>
      <x:c r="K108" s="42" t="str">
        <x:v>À automatiser</x:v>
      </x:c>
      <x:c r="L108" s="42" t="str">
        <x:v>Non exécuté</x:v>
      </x:c>
      <x:c r="M108" s="42" t="str"/>
    </x:row>
    <x:row r="109">
      <x:c r="A109" s="42" t="str">
        <x:v>TC-REL-003-CTRL</x:v>
      </x:c>
      <x:c r="B109" s="42" t="str">
        <x:v>REL-003</x:v>
      </x:c>
      <x:c r="C109" s="42" t="str">
        <x:v>US-REL-003</x:v>
      </x:c>
      <x:c r="D109" s="42" t="str">
        <x:v>Recouvrement et relances</x:v>
      </x:c>
      <x:c r="E109" s="42" t="str">
        <x:v>Contrôle négatif</x:v>
      </x:c>
      <x:c r="F109" s="42" t="str">
        <x:v>Utilisateur non autorisé ou donnée invalide.</x:v>
      </x:c>
      <x:c r="G109" s="42" t="str">
        <x:v>1. Préparer un cas invalide. 2. Tenter l’opération. 3. Vérifier refus, message et absence d’effet secondaire.</x:v>
      </x:c>
      <x:c r="H109" s="42" t="str">
        <x:v>L’opération est refusée de manière sûre, sans altération des données, avec erreur corrélée et audit si applicable.</x:v>
      </x:c>
      <x:c r="I109" s="42" t="str">
        <x:v>Haute</x:v>
      </x:c>
      <x:c r="J109" s="42" t="str">
        <x:v>Synthétique invalide</x:v>
      </x:c>
      <x:c r="K109" s="42" t="str">
        <x:v>À automatiser</x:v>
      </x:c>
      <x:c r="L109" s="42" t="str">
        <x:v>Non exécuté</x:v>
      </x:c>
      <x:c r="M109" s="42" t="str"/>
    </x:row>
    <x:row r="110">
      <x:c r="A110" s="42" t="str">
        <x:v>TC-REL-004-NOM</x:v>
      </x:c>
      <x:c r="B110" s="42" t="str">
        <x:v>REL-004</x:v>
      </x:c>
      <x:c r="C110" s="42" t="str">
        <x:v>US-REL-004</x:v>
      </x:c>
      <x:c r="D110" s="42" t="str">
        <x:v>Recouvrement et relances</x:v>
      </x:c>
      <x:c r="E110" s="42" t="str">
        <x:v>Nominal</x:v>
      </x:c>
      <x:c r="F110" s="42" t="str">
        <x:v>Utilisateur authentifié, autorisé et données valides.</x:v>
      </x:c>
      <x:c r="G110" s="42" t="str">
        <x:v>1. Préparer les données. 2. Exécuter : Suspendre automatiquement les relances en cas de litige ou promesse active. 3. Consulter le résultat et l’audit.</x:v>
      </x:c>
      <x:c r="H110" s="42" t="str">
        <x:v>La suspension est visible et datée.</x:v>
      </x:c>
      <x:c r="I110" s="42" t="str">
        <x:v>Critique</x:v>
      </x:c>
      <x:c r="J110" s="42" t="str">
        <x:v>Synthétique valide</x:v>
      </x:c>
      <x:c r="K110" s="42" t="str">
        <x:v>À automatiser</x:v>
      </x:c>
      <x:c r="L110" s="42" t="str">
        <x:v>Non exécuté</x:v>
      </x:c>
      <x:c r="M110" s="42" t="str"/>
    </x:row>
    <x:row r="111">
      <x:c r="A111" s="42" t="str">
        <x:v>TC-REL-004-CTRL</x:v>
      </x:c>
      <x:c r="B111" s="42" t="str">
        <x:v>REL-004</x:v>
      </x:c>
      <x:c r="C111" s="42" t="str">
        <x:v>US-REL-004</x:v>
      </x:c>
      <x:c r="D111" s="42" t="str">
        <x:v>Recouvrement et relances</x:v>
      </x:c>
      <x:c r="E111" s="42" t="str">
        <x:v>Contrôle négatif</x:v>
      </x:c>
      <x:c r="F111" s="42" t="str">
        <x:v>Utilisateur non autorisé ou donnée invalide.</x:v>
      </x:c>
      <x:c r="G111" s="42" t="str">
        <x:v>1. Préparer un cas invalide. 2. Tenter l’opération. 3. Vérifier refus, message et absence d’effet secondaire.</x:v>
      </x:c>
      <x:c r="H111" s="42" t="str">
        <x:v>L’opération est refusée de manière sûre, sans altération des données, avec erreur corrélée et audit si applicable.</x:v>
      </x:c>
      <x:c r="I111" s="42" t="str">
        <x:v>Haute</x:v>
      </x:c>
      <x:c r="J111" s="42" t="str">
        <x:v>Synthétique invalide</x:v>
      </x:c>
      <x:c r="K111" s="42" t="str">
        <x:v>À automatiser</x:v>
      </x:c>
      <x:c r="L111" s="42" t="str">
        <x:v>Non exécuté</x:v>
      </x:c>
      <x:c r="M111" s="42" t="str"/>
    </x:row>
    <x:row r="112">
      <x:c r="A112" s="42" t="str">
        <x:v>TC-REL-005-NOM</x:v>
      </x:c>
      <x:c r="B112" s="42" t="str">
        <x:v>REL-005</x:v>
      </x:c>
      <x:c r="C112" s="42" t="str">
        <x:v>US-REL-005</x:v>
      </x:c>
      <x:c r="D112" s="42" t="str">
        <x:v>Recouvrement et relances</x:v>
      </x:c>
      <x:c r="E112" s="42" t="str">
        <x:v>Nominal</x:v>
      </x:c>
      <x:c r="F112" s="42" t="str">
        <x:v>Utilisateur authentifié, autorisé et données valides.</x:v>
      </x:c>
      <x:c r="G112" s="42" t="str">
        <x:v>1. Préparer les données. 2. Exécuter : Créer et suivre les promesses de paiement. 3. Consulter le résultat et l’audit.</x:v>
      </x:c>
      <x:c r="H112" s="42" t="str">
        <x:v>Montant, date, commentaire et statut tenu/non tenu sont obligatoires.</x:v>
      </x:c>
      <x:c r="I112" s="42" t="str">
        <x:v>Critique</x:v>
      </x:c>
      <x:c r="J112" s="42" t="str">
        <x:v>Synthétique valide</x:v>
      </x:c>
      <x:c r="K112" s="42" t="str">
        <x:v>À automatiser</x:v>
      </x:c>
      <x:c r="L112" s="42" t="str">
        <x:v>Non exécuté</x:v>
      </x:c>
      <x:c r="M112" s="42" t="str"/>
    </x:row>
    <x:row r="113">
      <x:c r="A113" s="42" t="str">
        <x:v>TC-REL-005-CTRL</x:v>
      </x:c>
      <x:c r="B113" s="42" t="str">
        <x:v>REL-005</x:v>
      </x:c>
      <x:c r="C113" s="42" t="str">
        <x:v>US-REL-005</x:v>
      </x:c>
      <x:c r="D113" s="42" t="str">
        <x:v>Recouvrement et relances</x:v>
      </x:c>
      <x:c r="E113" s="42" t="str">
        <x:v>Contrôle négatif</x:v>
      </x:c>
      <x:c r="F113" s="42" t="str">
        <x:v>Utilisateur non autorisé ou donnée invalide.</x:v>
      </x:c>
      <x:c r="G113" s="42" t="str">
        <x:v>1. Préparer un cas invalide. 2. Tenter l’opération. 3. Vérifier refus, message et absence d’effet secondaire.</x:v>
      </x:c>
      <x:c r="H113" s="42" t="str">
        <x:v>L’opération est refusée de manière sûre, sans altération des données, avec erreur corrélée et audit si applicable.</x:v>
      </x:c>
      <x:c r="I113" s="42" t="str">
        <x:v>Haute</x:v>
      </x:c>
      <x:c r="J113" s="42" t="str">
        <x:v>Synthétique invalide</x:v>
      </x:c>
      <x:c r="K113" s="42" t="str">
        <x:v>À automatiser</x:v>
      </x:c>
      <x:c r="L113" s="42" t="str">
        <x:v>Non exécuté</x:v>
      </x:c>
      <x:c r="M113" s="42" t="str"/>
    </x:row>
    <x:row r="114">
      <x:c r="A114" s="42" t="str">
        <x:v>TC-REL-006-NOM</x:v>
      </x:c>
      <x:c r="B114" s="42" t="str">
        <x:v>REL-006</x:v>
      </x:c>
      <x:c r="C114" s="42" t="str">
        <x:v>US-REL-006</x:v>
      </x:c>
      <x:c r="D114" s="42" t="str">
        <x:v>Recouvrement et relances</x:v>
      </x:c>
      <x:c r="E114" s="42" t="str">
        <x:v>Nominal</x:v>
      </x:c>
      <x:c r="F114" s="42" t="str">
        <x:v>Utilisateur authentifié, autorisé et données valides.</x:v>
      </x:c>
      <x:c r="G114" s="42" t="str">
        <x:v>1. Préparer les données. 2. Exécuter : Planifier appels, visites et rendez-vous. 3. Consulter le résultat et l’audit.</x:v>
      </x:c>
      <x:c r="H114" s="42" t="str">
        <x:v>Les tâches apparaissent dans l’agenda et le portefeuille de l’agent.</x:v>
      </x:c>
      <x:c r="I114" s="42" t="str">
        <x:v>Haute</x:v>
      </x:c>
      <x:c r="J114" s="42" t="str">
        <x:v>Synthétique valide</x:v>
      </x:c>
      <x:c r="K114" s="42" t="str">
        <x:v>À automatiser</x:v>
      </x:c>
      <x:c r="L114" s="42" t="str">
        <x:v>Non exécuté</x:v>
      </x:c>
      <x:c r="M114" s="42" t="str"/>
    </x:row>
    <x:row r="115">
      <x:c r="A115" s="42" t="str">
        <x:v>TC-REL-006-CTRL</x:v>
      </x:c>
      <x:c r="B115" s="42" t="str">
        <x:v>REL-006</x:v>
      </x:c>
      <x:c r="C115" s="42" t="str">
        <x:v>US-REL-006</x:v>
      </x:c>
      <x:c r="D115" s="42" t="str">
        <x:v>Recouvrement et relances</x:v>
      </x:c>
      <x:c r="E115" s="42" t="str">
        <x:v>Contrôle négatif</x:v>
      </x:c>
      <x:c r="F115" s="42" t="str">
        <x:v>Utilisateur non autorisé ou donnée invalide.</x:v>
      </x:c>
      <x:c r="G115" s="42" t="str">
        <x:v>1. Préparer un cas invalide. 2. Tenter l’opération. 3. Vérifier refus, message et absence d’effet secondaire.</x:v>
      </x:c>
      <x:c r="H115" s="42" t="str">
        <x:v>L’opération est refusée de manière sûre, sans altération des données, avec erreur corrélée et audit si applicable.</x:v>
      </x:c>
      <x:c r="I115" s="42" t="str">
        <x:v>Haute</x:v>
      </x:c>
      <x:c r="J115" s="42" t="str">
        <x:v>Synthétique invalide</x:v>
      </x:c>
      <x:c r="K115" s="42" t="str">
        <x:v>À automatiser</x:v>
      </x:c>
      <x:c r="L115" s="42" t="str">
        <x:v>Non exécuté</x:v>
      </x:c>
      <x:c r="M115" s="42" t="str"/>
    </x:row>
    <x:row r="116">
      <x:c r="A116" s="42" t="str">
        <x:v>TC-REL-007-NOM</x:v>
      </x:c>
      <x:c r="B116" s="42" t="str">
        <x:v>REL-007</x:v>
      </x:c>
      <x:c r="C116" s="42" t="str">
        <x:v>US-REL-007</x:v>
      </x:c>
      <x:c r="D116" s="42" t="str">
        <x:v>Recouvrement et relances</x:v>
      </x:c>
      <x:c r="E116" s="42" t="str">
        <x:v>Nominal</x:v>
      </x:c>
      <x:c r="F116" s="42" t="str">
        <x:v>Utilisateur authentifié, autorisé et données valides.</x:v>
      </x:c>
      <x:c r="G116" s="42" t="str">
        <x:v>1. Préparer les données. 2. Exécuter : Mesurer performance par campagne, agent, canal et segment. 3. Consulter le résultat et l’audit.</x:v>
      </x:c>
      <x:c r="H116" s="42" t="str">
        <x:v>Taux de contact, conversion, montant récupéré, coût et délai moyen.</x:v>
      </x:c>
      <x:c r="I116" s="42" t="str">
        <x:v>Critique</x:v>
      </x:c>
      <x:c r="J116" s="42" t="str">
        <x:v>Synthétique valide</x:v>
      </x:c>
      <x:c r="K116" s="42" t="str">
        <x:v>À automatiser</x:v>
      </x:c>
      <x:c r="L116" s="42" t="str">
        <x:v>Non exécuté</x:v>
      </x:c>
      <x:c r="M116" s="42" t="str"/>
    </x:row>
    <x:row r="117">
      <x:c r="A117" s="42" t="str">
        <x:v>TC-REL-007-CTRL</x:v>
      </x:c>
      <x:c r="B117" s="42" t="str">
        <x:v>REL-007</x:v>
      </x:c>
      <x:c r="C117" s="42" t="str">
        <x:v>US-REL-007</x:v>
      </x:c>
      <x:c r="D117" s="42" t="str">
        <x:v>Recouvrement et relances</x:v>
      </x:c>
      <x:c r="E117" s="42" t="str">
        <x:v>Contrôle négatif</x:v>
      </x:c>
      <x:c r="F117" s="42" t="str">
        <x:v>Utilisateur non autorisé ou donnée invalide.</x:v>
      </x:c>
      <x:c r="G117" s="42" t="str">
        <x:v>1. Préparer un cas invalide. 2. Tenter l’opération. 3. Vérifier refus, message et absence d’effet secondaire.</x:v>
      </x:c>
      <x:c r="H117" s="42" t="str">
        <x:v>L’opération est refusée de manière sûre, sans altération des données, avec erreur corrélée et audit si applicable.</x:v>
      </x:c>
      <x:c r="I117" s="42" t="str">
        <x:v>Haute</x:v>
      </x:c>
      <x:c r="J117" s="42" t="str">
        <x:v>Synthétique invalide</x:v>
      </x:c>
      <x:c r="K117" s="42" t="str">
        <x:v>À automatiser</x:v>
      </x:c>
      <x:c r="L117" s="42" t="str">
        <x:v>Non exécuté</x:v>
      </x:c>
      <x:c r="M117" s="42" t="str"/>
    </x:row>
    <x:row r="118">
      <x:c r="A118" s="42" t="str">
        <x:v>TC-REL-008-NOM</x:v>
      </x:c>
      <x:c r="B118" s="42" t="str">
        <x:v>REL-008</x:v>
      </x:c>
      <x:c r="C118" s="42" t="str">
        <x:v>US-REL-008</x:v>
      </x:c>
      <x:c r="D118" s="42" t="str">
        <x:v>Recouvrement et relances</x:v>
      </x:c>
      <x:c r="E118" s="42" t="str">
        <x:v>Nominal</x:v>
      </x:c>
      <x:c r="F118" s="42" t="str">
        <x:v>Utilisateur authentifié, autorisé et données valides.</x:v>
      </x:c>
      <x:c r="G118" s="42" t="str">
        <x:v>1. Préparer les données. 2. Exécuter : Proposer une priorisation assistée par score. 3. Consulter le résultat et l’audit.</x:v>
      </x:c>
      <x:c r="H118" s="42" t="str">
        <x:v>Le score est explicable et ne décide pas seul d’une sanction.</x:v>
      </x:c>
      <x:c r="I118" s="42" t="str">
        <x:v>Haute</x:v>
      </x:c>
      <x:c r="J118" s="42" t="str">
        <x:v>Synthétique valide</x:v>
      </x:c>
      <x:c r="K118" s="42" t="str">
        <x:v>À automatiser</x:v>
      </x:c>
      <x:c r="L118" s="42" t="str">
        <x:v>Non exécuté</x:v>
      </x:c>
      <x:c r="M118" s="42" t="str"/>
    </x:row>
    <x:row r="119">
      <x:c r="A119" s="42" t="str">
        <x:v>TC-REL-008-CTRL</x:v>
      </x:c>
      <x:c r="B119" s="42" t="str">
        <x:v>REL-008</x:v>
      </x:c>
      <x:c r="C119" s="42" t="str">
        <x:v>US-REL-008</x:v>
      </x:c>
      <x:c r="D119" s="42" t="str">
        <x:v>Recouvrement et relances</x:v>
      </x:c>
      <x:c r="E119" s="42" t="str">
        <x:v>Contrôle négatif</x:v>
      </x:c>
      <x:c r="F119" s="42" t="str">
        <x:v>Utilisateur non autorisé ou donnée invalide.</x:v>
      </x:c>
      <x:c r="G119" s="42" t="str">
        <x:v>1. Préparer un cas invalide. 2. Tenter l’opération. 3. Vérifier refus, message et absence d’effet secondaire.</x:v>
      </x:c>
      <x:c r="H119" s="42" t="str">
        <x:v>L’opération est refusée de manière sûre, sans altération des données, avec erreur corrélée et audit si applicable.</x:v>
      </x:c>
      <x:c r="I119" s="42" t="str">
        <x:v>Haute</x:v>
      </x:c>
      <x:c r="J119" s="42" t="str">
        <x:v>Synthétique invalide</x:v>
      </x:c>
      <x:c r="K119" s="42" t="str">
        <x:v>À automatiser</x:v>
      </x:c>
      <x:c r="L119" s="42" t="str">
        <x:v>Non exécuté</x:v>
      </x:c>
      <x:c r="M119" s="42" t="str"/>
    </x:row>
    <x:row r="120">
      <x:c r="A120" s="42" t="str">
        <x:v>TC-PRT-001-NOM</x:v>
      </x:c>
      <x:c r="B120" s="42" t="str">
        <x:v>PRT-001</x:v>
      </x:c>
      <x:c r="C120" s="42" t="str">
        <x:v>US-PRT-001</x:v>
      </x:c>
      <x:c r="D120" s="42" t="str">
        <x:v>Portail et application membre</x:v>
      </x:c>
      <x:c r="E120" s="42" t="str">
        <x:v>Nominal</x:v>
      </x:c>
      <x:c r="F120" s="42" t="str">
        <x:v>Utilisateur authentifié, autorisé et données valides.</x:v>
      </x:c>
      <x:c r="G120" s="42" t="str">
        <x:v>1. Préparer les données. 2. Exécuter : Connexion par mot de passe ou OTP avec 2FA selon risque. 3. Consulter le résultat et l’audit.</x:v>
      </x:c>
      <x:c r="H120" s="42" t="str">
        <x:v>Le membre peut récupérer son accès sans intervention manuelle abusive.</x:v>
      </x:c>
      <x:c r="I120" s="42" t="str">
        <x:v>Critique</x:v>
      </x:c>
      <x:c r="J120" s="42" t="str">
        <x:v>Synthétique valide</x:v>
      </x:c>
      <x:c r="K120" s="42" t="str">
        <x:v>À automatiser</x:v>
      </x:c>
      <x:c r="L120" s="42" t="str">
        <x:v>Non exécuté</x:v>
      </x:c>
      <x:c r="M120" s="42" t="str"/>
    </x:row>
    <x:row r="121">
      <x:c r="A121" s="42" t="str">
        <x:v>TC-PRT-001-CTRL</x:v>
      </x:c>
      <x:c r="B121" s="42" t="str">
        <x:v>PRT-001</x:v>
      </x:c>
      <x:c r="C121" s="42" t="str">
        <x:v>US-PRT-001</x:v>
      </x:c>
      <x:c r="D121" s="42" t="str">
        <x:v>Portail et application membre</x:v>
      </x:c>
      <x:c r="E121" s="42" t="str">
        <x:v>Contrôle négatif</x:v>
      </x:c>
      <x:c r="F121" s="42" t="str">
        <x:v>Utilisateur non autorisé ou donnée invalide.</x:v>
      </x:c>
      <x:c r="G121" s="42" t="str">
        <x:v>1. Préparer un cas invalide. 2. Tenter l’opération. 3. Vérifier refus, message et absence d’effet secondaire.</x:v>
      </x:c>
      <x:c r="H121" s="42" t="str">
        <x:v>L’opération est refusée de manière sûre, sans altération des données, avec erreur corrélée et audit si applicable.</x:v>
      </x:c>
      <x:c r="I121" s="42" t="str">
        <x:v>Haute</x:v>
      </x:c>
      <x:c r="J121" s="42" t="str">
        <x:v>Synthétique invalide</x:v>
      </x:c>
      <x:c r="K121" s="42" t="str">
        <x:v>À automatiser</x:v>
      </x:c>
      <x:c r="L121" s="42" t="str">
        <x:v>Non exécuté</x:v>
      </x:c>
      <x:c r="M121" s="42" t="str"/>
    </x:row>
    <x:row r="122">
      <x:c r="A122" s="42" t="str">
        <x:v>TC-PRT-002-NOM</x:v>
      </x:c>
      <x:c r="B122" s="42" t="str">
        <x:v>PRT-002</x:v>
      </x:c>
      <x:c r="C122" s="42" t="str">
        <x:v>US-PRT-002</x:v>
      </x:c>
      <x:c r="D122" s="42" t="str">
        <x:v>Portail et application membre</x:v>
      </x:c>
      <x:c r="E122" s="42" t="str">
        <x:v>Nominal</x:v>
      </x:c>
      <x:c r="F122" s="42" t="str">
        <x:v>Utilisateur authentifié, autorisé et données valides.</x:v>
      </x:c>
      <x:c r="G122" s="42" t="str">
        <x:v>1. Préparer les données. 2. Exécuter : Consulter le détail des cotisations et télécharger les appels. 3. Consulter le résultat et l’audit.</x:v>
      </x:c>
      <x:c r="H122" s="42" t="str">
        <x:v>Les calculs et ajustements sont explicités.</x:v>
      </x:c>
      <x:c r="I122" s="42" t="str">
        <x:v>Critique</x:v>
      </x:c>
      <x:c r="J122" s="42" t="str">
        <x:v>Synthétique valide</x:v>
      </x:c>
      <x:c r="K122" s="42" t="str">
        <x:v>À automatiser</x:v>
      </x:c>
      <x:c r="L122" s="42" t="str">
        <x:v>Non exécuté</x:v>
      </x:c>
      <x:c r="M122" s="42" t="str"/>
    </x:row>
    <x:row r="123">
      <x:c r="A123" s="42" t="str">
        <x:v>TC-PRT-002-CTRL</x:v>
      </x:c>
      <x:c r="B123" s="42" t="str">
        <x:v>PRT-002</x:v>
      </x:c>
      <x:c r="C123" s="42" t="str">
        <x:v>US-PRT-002</x:v>
      </x:c>
      <x:c r="D123" s="42" t="str">
        <x:v>Portail et application membre</x:v>
      </x:c>
      <x:c r="E123" s="42" t="str">
        <x:v>Contrôle négatif</x:v>
      </x:c>
      <x:c r="F123" s="42" t="str">
        <x:v>Utilisateur non autorisé ou donnée invalide.</x:v>
      </x:c>
      <x:c r="G123" s="42" t="str">
        <x:v>1. Préparer un cas invalide. 2. Tenter l’opération. 3. Vérifier refus, message et absence d’effet secondaire.</x:v>
      </x:c>
      <x:c r="H123" s="42" t="str">
        <x:v>L’opération est refusée de manière sûre, sans altération des données, avec erreur corrélée et audit si applicable.</x:v>
      </x:c>
      <x:c r="I123" s="42" t="str">
        <x:v>Haute</x:v>
      </x:c>
      <x:c r="J123" s="42" t="str">
        <x:v>Synthétique invalide</x:v>
      </x:c>
      <x:c r="K123" s="42" t="str">
        <x:v>À automatiser</x:v>
      </x:c>
      <x:c r="L123" s="42" t="str">
        <x:v>Non exécuté</x:v>
      </x:c>
      <x:c r="M123" s="42" t="str"/>
    </x:row>
    <x:row r="124">
      <x:c r="A124" s="42" t="str">
        <x:v>TC-PRT-003-NOM</x:v>
      </x:c>
      <x:c r="B124" s="42" t="str">
        <x:v>PRT-003</x:v>
      </x:c>
      <x:c r="C124" s="42" t="str">
        <x:v>US-PRT-003</x:v>
      </x:c>
      <x:c r="D124" s="42" t="str">
        <x:v>Portail et application membre</x:v>
      </x:c>
      <x:c r="E124" s="42" t="str">
        <x:v>Nominal</x:v>
      </x:c>
      <x:c r="F124" s="42" t="str">
        <x:v>Utilisateur authentifié, autorisé et données valides.</x:v>
      </x:c>
      <x:c r="G124" s="42" t="str">
        <x:v>1. Préparer les données. 2. Exécuter : Initier un paiement et suivre son statut. 3. Consulter le résultat et l’audit.</x:v>
      </x:c>
      <x:c r="H124" s="42" t="str">
        <x:v>Le statut est actualisé et les échecs sont expliqués.</x:v>
      </x:c>
      <x:c r="I124" s="42" t="str">
        <x:v>Critique</x:v>
      </x:c>
      <x:c r="J124" s="42" t="str">
        <x:v>Synthétique valide</x:v>
      </x:c>
      <x:c r="K124" s="42" t="str">
        <x:v>À automatiser</x:v>
      </x:c>
      <x:c r="L124" s="42" t="str">
        <x:v>Non exécuté</x:v>
      </x:c>
      <x:c r="M124" s="42" t="str"/>
    </x:row>
    <x:row r="125">
      <x:c r="A125" s="42" t="str">
        <x:v>TC-PRT-003-CTRL</x:v>
      </x:c>
      <x:c r="B125" s="42" t="str">
        <x:v>PRT-003</x:v>
      </x:c>
      <x:c r="C125" s="42" t="str">
        <x:v>US-PRT-003</x:v>
      </x:c>
      <x:c r="D125" s="42" t="str">
        <x:v>Portail et application membre</x:v>
      </x:c>
      <x:c r="E125" s="42" t="str">
        <x:v>Contrôle négatif</x:v>
      </x:c>
      <x:c r="F125" s="42" t="str">
        <x:v>Utilisateur non autorisé ou donnée invalide.</x:v>
      </x:c>
      <x:c r="G125" s="42" t="str">
        <x:v>1. Préparer un cas invalide. 2. Tenter l’opération. 3. Vérifier refus, message et absence d’effet secondaire.</x:v>
      </x:c>
      <x:c r="H125" s="42" t="str">
        <x:v>L’opération est refusée de manière sûre, sans altération des données, avec erreur corrélée et audit si applicable.</x:v>
      </x:c>
      <x:c r="I125" s="42" t="str">
        <x:v>Haute</x:v>
      </x:c>
      <x:c r="J125" s="42" t="str">
        <x:v>Synthétique invalide</x:v>
      </x:c>
      <x:c r="K125" s="42" t="str">
        <x:v>À automatiser</x:v>
      </x:c>
      <x:c r="L125" s="42" t="str">
        <x:v>Non exécuté</x:v>
      </x:c>
      <x:c r="M125" s="42" t="str"/>
    </x:row>
    <x:row r="126">
      <x:c r="A126" s="42" t="str">
        <x:v>TC-PRT-004-NOM</x:v>
      </x:c>
      <x:c r="B126" s="42" t="str">
        <x:v>PRT-004</x:v>
      </x:c>
      <x:c r="C126" s="42" t="str">
        <x:v>US-PRT-004</x:v>
      </x:c>
      <x:c r="D126" s="42" t="str">
        <x:v>Portail et application membre</x:v>
      </x:c>
      <x:c r="E126" s="42" t="str">
        <x:v>Nominal</x:v>
      </x:c>
      <x:c r="F126" s="42" t="str">
        <x:v>Utilisateur authentifié, autorisé et données valides.</x:v>
      </x:c>
      <x:c r="G126" s="42" t="str">
        <x:v>1. Préparer les données. 2. Exécuter : Télécharger reçus, attestations et carte membre. 3. Consulter le résultat et l’audit.</x:v>
      </x:c>
      <x:c r="H126" s="42" t="str">
        <x:v>Les documents sont signés et vérifiables.</x:v>
      </x:c>
      <x:c r="I126" s="42" t="str">
        <x:v>Critique</x:v>
      </x:c>
      <x:c r="J126" s="42" t="str">
        <x:v>Synthétique valide</x:v>
      </x:c>
      <x:c r="K126" s="42" t="str">
        <x:v>À automatiser</x:v>
      </x:c>
      <x:c r="L126" s="42" t="str">
        <x:v>Non exécuté</x:v>
      </x:c>
      <x:c r="M126" s="42" t="str"/>
    </x:row>
    <x:row r="127">
      <x:c r="A127" s="42" t="str">
        <x:v>TC-PRT-004-CTRL</x:v>
      </x:c>
      <x:c r="B127" s="42" t="str">
        <x:v>PRT-004</x:v>
      </x:c>
      <x:c r="C127" s="42" t="str">
        <x:v>US-PRT-004</x:v>
      </x:c>
      <x:c r="D127" s="42" t="str">
        <x:v>Portail et application membre</x:v>
      </x:c>
      <x:c r="E127" s="42" t="str">
        <x:v>Contrôle négatif</x:v>
      </x:c>
      <x:c r="F127" s="42" t="str">
        <x:v>Utilisateur non autorisé ou donnée invalide.</x:v>
      </x:c>
      <x:c r="G127" s="42" t="str">
        <x:v>1. Préparer un cas invalide. 2. Tenter l’opération. 3. Vérifier refus, message et absence d’effet secondaire.</x:v>
      </x:c>
      <x:c r="H127" s="42" t="str">
        <x:v>L’opération est refusée de manière sûre, sans altération des données, avec erreur corrélée et audit si applicable.</x:v>
      </x:c>
      <x:c r="I127" s="42" t="str">
        <x:v>Haute</x:v>
      </x:c>
      <x:c r="J127" s="42" t="str">
        <x:v>Synthétique invalide</x:v>
      </x:c>
      <x:c r="K127" s="42" t="str">
        <x:v>À automatiser</x:v>
      </x:c>
      <x:c r="L127" s="42" t="str">
        <x:v>Non exécuté</x:v>
      </x:c>
      <x:c r="M127" s="42" t="str"/>
    </x:row>
    <x:row r="128">
      <x:c r="A128" s="42" t="str">
        <x:v>TC-PRT-005-NOM</x:v>
      </x:c>
      <x:c r="B128" s="42" t="str">
        <x:v>PRT-005</x:v>
      </x:c>
      <x:c r="C128" s="42" t="str">
        <x:v>US-PRT-005</x:v>
      </x:c>
      <x:c r="D128" s="42" t="str">
        <x:v>Portail et application membre</x:v>
      </x:c>
      <x:c r="E128" s="42" t="str">
        <x:v>Nominal</x:v>
      </x:c>
      <x:c r="F128" s="42" t="str">
        <x:v>Utilisateur authentifié, autorisé et données valides.</x:v>
      </x:c>
      <x:c r="G128" s="42" t="str">
        <x:v>1. Préparer les données. 2. Exécuter : Mettre à jour les informations soumises à validation. 3. Consulter le résultat et l’audit.</x:v>
      </x:c>
      <x:c r="H128" s="42" t="str">
        <x:v>Les changements sensibles restent en attente jusqu’à validation.</x:v>
      </x:c>
      <x:c r="I128" s="42" t="str">
        <x:v>Critique</x:v>
      </x:c>
      <x:c r="J128" s="42" t="str">
        <x:v>Synthétique valide</x:v>
      </x:c>
      <x:c r="K128" s="42" t="str">
        <x:v>À automatiser</x:v>
      </x:c>
      <x:c r="L128" s="42" t="str">
        <x:v>Non exécuté</x:v>
      </x:c>
      <x:c r="M128" s="42" t="str"/>
    </x:row>
    <x:row r="129">
      <x:c r="A129" s="42" t="str">
        <x:v>TC-PRT-005-CTRL</x:v>
      </x:c>
      <x:c r="B129" s="42" t="str">
        <x:v>PRT-005</x:v>
      </x:c>
      <x:c r="C129" s="42" t="str">
        <x:v>US-PRT-005</x:v>
      </x:c>
      <x:c r="D129" s="42" t="str">
        <x:v>Portail et application membre</x:v>
      </x:c>
      <x:c r="E129" s="42" t="str">
        <x:v>Contrôle négatif</x:v>
      </x:c>
      <x:c r="F129" s="42" t="str">
        <x:v>Utilisateur non autorisé ou donnée invalide.</x:v>
      </x:c>
      <x:c r="G129" s="42" t="str">
        <x:v>1. Préparer un cas invalide. 2. Tenter l’opération. 3. Vérifier refus, message et absence d’effet secondaire.</x:v>
      </x:c>
      <x:c r="H129" s="42" t="str">
        <x:v>L’opération est refusée de manière sûre, sans altération des données, avec erreur corrélée et audit si applicable.</x:v>
      </x:c>
      <x:c r="I129" s="42" t="str">
        <x:v>Haute</x:v>
      </x:c>
      <x:c r="J129" s="42" t="str">
        <x:v>Synthétique invalide</x:v>
      </x:c>
      <x:c r="K129" s="42" t="str">
        <x:v>À automatiser</x:v>
      </x:c>
      <x:c r="L129" s="42" t="str">
        <x:v>Non exécuté</x:v>
      </x:c>
      <x:c r="M129" s="42" t="str"/>
    </x:row>
    <x:row r="130">
      <x:c r="A130" s="42" t="str">
        <x:v>TC-PRT-006-NOM</x:v>
      </x:c>
      <x:c r="B130" s="42" t="str">
        <x:v>PRT-006</x:v>
      </x:c>
      <x:c r="C130" s="42" t="str">
        <x:v>US-PRT-006</x:v>
      </x:c>
      <x:c r="D130" s="42" t="str">
        <x:v>Portail et application membre</x:v>
      </x:c>
      <x:c r="E130" s="42" t="str">
        <x:v>Nominal</x:v>
      </x:c>
      <x:c r="F130" s="42" t="str">
        <x:v>Utilisateur authentifié, autorisé et données valides.</x:v>
      </x:c>
      <x:c r="G130" s="42" t="str">
        <x:v>1. Préparer les données. 2. Exécuter : Déposer et suivre une requête ou réclamation. 3. Consulter le résultat et l’audit.</x:v>
      </x:c>
      <x:c r="H130" s="42" t="str">
        <x:v>Le membre voit le SLA, les réponses et les pièces demandées.</x:v>
      </x:c>
      <x:c r="I130" s="42" t="str">
        <x:v>Critique</x:v>
      </x:c>
      <x:c r="J130" s="42" t="str">
        <x:v>Synthétique valide</x:v>
      </x:c>
      <x:c r="K130" s="42" t="str">
        <x:v>À automatiser</x:v>
      </x:c>
      <x:c r="L130" s="42" t="str">
        <x:v>Non exécuté</x:v>
      </x:c>
      <x:c r="M130" s="42" t="str"/>
    </x:row>
    <x:row r="131">
      <x:c r="A131" s="42" t="str">
        <x:v>TC-PRT-006-CTRL</x:v>
      </x:c>
      <x:c r="B131" s="42" t="str">
        <x:v>PRT-006</x:v>
      </x:c>
      <x:c r="C131" s="42" t="str">
        <x:v>US-PRT-006</x:v>
      </x:c>
      <x:c r="D131" s="42" t="str">
        <x:v>Portail et application membre</x:v>
      </x:c>
      <x:c r="E131" s="42" t="str">
        <x:v>Contrôle négatif</x:v>
      </x:c>
      <x:c r="F131" s="42" t="str">
        <x:v>Utilisateur non autorisé ou donnée invalide.</x:v>
      </x:c>
      <x:c r="G131" s="42" t="str">
        <x:v>1. Préparer un cas invalide. 2. Tenter l’opération. 3. Vérifier refus, message et absence d’effet secondaire.</x:v>
      </x:c>
      <x:c r="H131" s="42" t="str">
        <x:v>L’opération est refusée de manière sûre, sans altération des données, avec erreur corrélée et audit si applicable.</x:v>
      </x:c>
      <x:c r="I131" s="42" t="str">
        <x:v>Haute</x:v>
      </x:c>
      <x:c r="J131" s="42" t="str">
        <x:v>Synthétique invalide</x:v>
      </x:c>
      <x:c r="K131" s="42" t="str">
        <x:v>À automatiser</x:v>
      </x:c>
      <x:c r="L131" s="42" t="str">
        <x:v>Non exécuté</x:v>
      </x:c>
      <x:c r="M131" s="42" t="str"/>
    </x:row>
    <x:row r="132">
      <x:c r="A132" s="42" t="str">
        <x:v>TC-PRT-007-NOM</x:v>
      </x:c>
      <x:c r="B132" s="42" t="str">
        <x:v>PRT-007</x:v>
      </x:c>
      <x:c r="C132" s="42" t="str">
        <x:v>US-PRT-007</x:v>
      </x:c>
      <x:c r="D132" s="42" t="str">
        <x:v>Portail et application membre</x:v>
      </x:c>
      <x:c r="E132" s="42" t="str">
        <x:v>Nominal</x:v>
      </x:c>
      <x:c r="F132" s="42" t="str">
        <x:v>Utilisateur authentifié, autorisé et données valides.</x:v>
      </x:c>
      <x:c r="G132" s="42" t="str">
        <x:v>1. Préparer les données. 2. Exécuter : Inscrire des représentants aux événements. 3. Consulter le résultat et l’audit.</x:v>
      </x:c>
      <x:c r="H132" s="42" t="str">
        <x:v>Confirmation, QR d’accès et rappel automatiques.</x:v>
      </x:c>
      <x:c r="I132" s="42" t="str">
        <x:v>Haute</x:v>
      </x:c>
      <x:c r="J132" s="42" t="str">
        <x:v>Synthétique valide</x:v>
      </x:c>
      <x:c r="K132" s="42" t="str">
        <x:v>À automatiser</x:v>
      </x:c>
      <x:c r="L132" s="42" t="str">
        <x:v>Non exécuté</x:v>
      </x:c>
      <x:c r="M132" s="42" t="str"/>
    </x:row>
    <x:row r="133">
      <x:c r="A133" s="42" t="str">
        <x:v>TC-PRT-007-CTRL</x:v>
      </x:c>
      <x:c r="B133" s="42" t="str">
        <x:v>PRT-007</x:v>
      </x:c>
      <x:c r="C133" s="42" t="str">
        <x:v>US-PRT-007</x:v>
      </x:c>
      <x:c r="D133" s="42" t="str">
        <x:v>Portail et application membre</x:v>
      </x:c>
      <x:c r="E133" s="42" t="str">
        <x:v>Contrôle négatif</x:v>
      </x:c>
      <x:c r="F133" s="42" t="str">
        <x:v>Utilisateur non autorisé ou donnée invalide.</x:v>
      </x:c>
      <x:c r="G133" s="42" t="str">
        <x:v>1. Préparer un cas invalide. 2. Tenter l’opération. 3. Vérifier refus, message et absence d’effet secondaire.</x:v>
      </x:c>
      <x:c r="H133" s="42" t="str">
        <x:v>L’opération est refusée de manière sûre, sans altération des données, avec erreur corrélée et audit si applicable.</x:v>
      </x:c>
      <x:c r="I133" s="42" t="str">
        <x:v>Haute</x:v>
      </x:c>
      <x:c r="J133" s="42" t="str">
        <x:v>Synthétique invalide</x:v>
      </x:c>
      <x:c r="K133" s="42" t="str">
        <x:v>À automatiser</x:v>
      </x:c>
      <x:c r="L133" s="42" t="str">
        <x:v>Non exécuté</x:v>
      </x:c>
      <x:c r="M133" s="42" t="str"/>
    </x:row>
    <x:row r="134">
      <x:c r="A134" s="42" t="str">
        <x:v>TC-PRT-008-NOM</x:v>
      </x:c>
      <x:c r="B134" s="42" t="str">
        <x:v>PRT-008</x:v>
      </x:c>
      <x:c r="C134" s="42" t="str">
        <x:v>US-PRT-008</x:v>
      </x:c>
      <x:c r="D134" s="42" t="str">
        <x:v>Portail et application membre</x:v>
      </x:c>
      <x:c r="E134" s="42" t="str">
        <x:v>Nominal</x:v>
      </x:c>
      <x:c r="F134" s="42" t="str">
        <x:v>Utilisateur authentifié, autorisé et données valides.</x:v>
      </x:c>
      <x:c r="G134" s="42" t="str">
        <x:v>1. Préparer les données. 2. Exécuter : Gérer les utilisateurs délégués de l’entreprise. 3. Consulter le résultat et l’audit.</x:v>
      </x:c>
      <x:c r="H134" s="42" t="str">
        <x:v>Le représentant principal attribue des droits limités.</x:v>
      </x:c>
      <x:c r="I134" s="42" t="str">
        <x:v>Haute</x:v>
      </x:c>
      <x:c r="J134" s="42" t="str">
        <x:v>Synthétique valide</x:v>
      </x:c>
      <x:c r="K134" s="42" t="str">
        <x:v>À automatiser</x:v>
      </x:c>
      <x:c r="L134" s="42" t="str">
        <x:v>Non exécuté</x:v>
      </x:c>
      <x:c r="M134" s="42" t="str"/>
    </x:row>
    <x:row r="135">
      <x:c r="A135" s="42" t="str">
        <x:v>TC-PRT-008-CTRL</x:v>
      </x:c>
      <x:c r="B135" s="42" t="str">
        <x:v>PRT-008</x:v>
      </x:c>
      <x:c r="C135" s="42" t="str">
        <x:v>US-PRT-008</x:v>
      </x:c>
      <x:c r="D135" s="42" t="str">
        <x:v>Portail et application membre</x:v>
      </x:c>
      <x:c r="E135" s="42" t="str">
        <x:v>Contrôle négatif</x:v>
      </x:c>
      <x:c r="F135" s="42" t="str">
        <x:v>Utilisateur non autorisé ou donnée invalide.</x:v>
      </x:c>
      <x:c r="G135" s="42" t="str">
        <x:v>1. Préparer un cas invalide. 2. Tenter l’opération. 3. Vérifier refus, message et absence d’effet secondaire.</x:v>
      </x:c>
      <x:c r="H135" s="42" t="str">
        <x:v>L’opération est refusée de manière sûre, sans altération des données, avec erreur corrélée et audit si applicable.</x:v>
      </x:c>
      <x:c r="I135" s="42" t="str">
        <x:v>Haute</x:v>
      </x:c>
      <x:c r="J135" s="42" t="str">
        <x:v>Synthétique invalide</x:v>
      </x:c>
      <x:c r="K135" s="42" t="str">
        <x:v>À automatiser</x:v>
      </x:c>
      <x:c r="L135" s="42" t="str">
        <x:v>Non exécuté</x:v>
      </x:c>
      <x:c r="M135" s="42" t="str"/>
    </x:row>
    <x:row r="136">
      <x:c r="A136" s="42" t="str">
        <x:v>TC-PRT-009-NOM</x:v>
      </x:c>
      <x:c r="B136" s="42" t="str">
        <x:v>PRT-009</x:v>
      </x:c>
      <x:c r="C136" s="42" t="str">
        <x:v>US-PRT-009</x:v>
      </x:c>
      <x:c r="D136" s="42" t="str">
        <x:v>Portail et application membre</x:v>
      </x:c>
      <x:c r="E136" s="42" t="str">
        <x:v>Nominal</x:v>
      </x:c>
      <x:c r="F136" s="42" t="str">
        <x:v>Utilisateur authentifié, autorisé et données valides.</x:v>
      </x:c>
      <x:c r="G136" s="42" t="str">
        <x:v>1. Préparer les données. 2. Exécuter : Utiliser l’application en français et préparer d’autres langues. 3. Consulter le résultat et l’audit.</x:v>
      </x:c>
      <x:c r="H136" s="42" t="str">
        <x:v>Tous les libellés sont externalisés et traduisibles.</x:v>
      </x:c>
      <x:c r="I136" s="42" t="str">
        <x:v>Haute</x:v>
      </x:c>
      <x:c r="J136" s="42" t="str">
        <x:v>Synthétique valide</x:v>
      </x:c>
      <x:c r="K136" s="42" t="str">
        <x:v>À automatiser</x:v>
      </x:c>
      <x:c r="L136" s="42" t="str">
        <x:v>Non exécuté</x:v>
      </x:c>
      <x:c r="M136" s="42" t="str"/>
    </x:row>
    <x:row r="137">
      <x:c r="A137" s="42" t="str">
        <x:v>TC-PRT-009-CTRL</x:v>
      </x:c>
      <x:c r="B137" s="42" t="str">
        <x:v>PRT-009</x:v>
      </x:c>
      <x:c r="C137" s="42" t="str">
        <x:v>US-PRT-009</x:v>
      </x:c>
      <x:c r="D137" s="42" t="str">
        <x:v>Portail et application membre</x:v>
      </x:c>
      <x:c r="E137" s="42" t="str">
        <x:v>Contrôle négatif</x:v>
      </x:c>
      <x:c r="F137" s="42" t="str">
        <x:v>Utilisateur non autorisé ou donnée invalide.</x:v>
      </x:c>
      <x:c r="G137" s="42" t="str">
        <x:v>1. Préparer un cas invalide. 2. Tenter l’opération. 3. Vérifier refus, message et absence d’effet secondaire.</x:v>
      </x:c>
      <x:c r="H137" s="42" t="str">
        <x:v>L’opération est refusée de manière sûre, sans altération des données, avec erreur corrélée et audit si applicable.</x:v>
      </x:c>
      <x:c r="I137" s="42" t="str">
        <x:v>Haute</x:v>
      </x:c>
      <x:c r="J137" s="42" t="str">
        <x:v>Synthétique invalide</x:v>
      </x:c>
      <x:c r="K137" s="42" t="str">
        <x:v>À automatiser</x:v>
      </x:c>
      <x:c r="L137" s="42" t="str">
        <x:v>Non exécuté</x:v>
      </x:c>
      <x:c r="M137" s="42" t="str"/>
    </x:row>
    <x:row r="138">
      <x:c r="A138" s="42" t="str">
        <x:v>TC-PRT-010-NOM</x:v>
      </x:c>
      <x:c r="B138" s="42" t="str">
        <x:v>PRT-010</x:v>
      </x:c>
      <x:c r="C138" s="42" t="str">
        <x:v>US-PRT-010</x:v>
      </x:c>
      <x:c r="D138" s="42" t="str">
        <x:v>Portail et application membre</x:v>
      </x:c>
      <x:c r="E138" s="42" t="str">
        <x:v>Nominal</x:v>
      </x:c>
      <x:c r="F138" s="42" t="str">
        <x:v>Utilisateur authentifié, autorisé et données valides.</x:v>
      </x:c>
      <x:c r="G138" s="42" t="str">
        <x:v>1. Préparer les données. 2. Exécuter : Recevoir des notifications push pertinentes. 3. Consulter le résultat et l’audit.</x:v>
      </x:c>
      <x:c r="H138" s="42" t="str">
        <x:v>Les préférences sont modifiables et la désinscription respectée.</x:v>
      </x:c>
      <x:c r="I138" s="42" t="str">
        <x:v>Haute</x:v>
      </x:c>
      <x:c r="J138" s="42" t="str">
        <x:v>Synthétique valide</x:v>
      </x:c>
      <x:c r="K138" s="42" t="str">
        <x:v>À automatiser</x:v>
      </x:c>
      <x:c r="L138" s="42" t="str">
        <x:v>Non exécuté</x:v>
      </x:c>
      <x:c r="M138" s="42" t="str"/>
    </x:row>
    <x:row r="139">
      <x:c r="A139" s="42" t="str">
        <x:v>TC-PRT-010-CTRL</x:v>
      </x:c>
      <x:c r="B139" s="42" t="str">
        <x:v>PRT-010</x:v>
      </x:c>
      <x:c r="C139" s="42" t="str">
        <x:v>US-PRT-010</x:v>
      </x:c>
      <x:c r="D139" s="42" t="str">
        <x:v>Portail et application membre</x:v>
      </x:c>
      <x:c r="E139" s="42" t="str">
        <x:v>Contrôle négatif</x:v>
      </x:c>
      <x:c r="F139" s="42" t="str">
        <x:v>Utilisateur non autorisé ou donnée invalide.</x:v>
      </x:c>
      <x:c r="G139" s="42" t="str">
        <x:v>1. Préparer un cas invalide. 2. Tenter l’opération. 3. Vérifier refus, message et absence d’effet secondaire.</x:v>
      </x:c>
      <x:c r="H139" s="42" t="str">
        <x:v>L’opération est refusée de manière sûre, sans altération des données, avec erreur corrélée et audit si applicable.</x:v>
      </x:c>
      <x:c r="I139" s="42" t="str">
        <x:v>Haute</x:v>
      </x:c>
      <x:c r="J139" s="42" t="str">
        <x:v>Synthétique invalide</x:v>
      </x:c>
      <x:c r="K139" s="42" t="str">
        <x:v>À automatiser</x:v>
      </x:c>
      <x:c r="L139" s="42" t="str">
        <x:v>Non exécuté</x:v>
      </x:c>
      <x:c r="M139" s="42" t="str"/>
    </x:row>
    <x:row r="140">
      <x:c r="A140" s="42" t="str">
        <x:v>TC-REQ-001-NOM</x:v>
      </x:c>
      <x:c r="B140" s="42" t="str">
        <x:v>REQ-001</x:v>
      </x:c>
      <x:c r="C140" s="42" t="str">
        <x:v>US-REQ-001</x:v>
      </x:c>
      <x:c r="D140" s="42" t="str">
        <x:v>Requêtes et réclamations</x:v>
      </x:c>
      <x:c r="E140" s="42" t="str">
        <x:v>Nominal</x:v>
      </x:c>
      <x:c r="F140" s="42" t="str">
        <x:v>Utilisateur authentifié, autorisé et données valides.</x:v>
      </x:c>
      <x:c r="G140" s="42" t="str">
        <x:v>1. Préparer les données. 2. Exécuter : Attribuer un numéro de dossier unique et un accusé de réception. 3. Consulter le résultat et l’audit.</x:v>
      </x:c>
      <x:c r="H140" s="42" t="str">
        <x:v>Le membre reçoit numéro, date et délai cible.</x:v>
      </x:c>
      <x:c r="I140" s="42" t="str">
        <x:v>Critique</x:v>
      </x:c>
      <x:c r="J140" s="42" t="str">
        <x:v>Synthétique valide</x:v>
      </x:c>
      <x:c r="K140" s="42" t="str">
        <x:v>À automatiser</x:v>
      </x:c>
      <x:c r="L140" s="42" t="str">
        <x:v>Non exécuté</x:v>
      </x:c>
      <x:c r="M140" s="42" t="str"/>
    </x:row>
    <x:row r="141">
      <x:c r="A141" s="42" t="str">
        <x:v>TC-REQ-001-CTRL</x:v>
      </x:c>
      <x:c r="B141" s="42" t="str">
        <x:v>REQ-001</x:v>
      </x:c>
      <x:c r="C141" s="42" t="str">
        <x:v>US-REQ-001</x:v>
      </x:c>
      <x:c r="D141" s="42" t="str">
        <x:v>Requêtes et réclamations</x:v>
      </x:c>
      <x:c r="E141" s="42" t="str">
        <x:v>Contrôle négatif</x:v>
      </x:c>
      <x:c r="F141" s="42" t="str">
        <x:v>Utilisateur non autorisé ou donnée invalide.</x:v>
      </x:c>
      <x:c r="G141" s="42" t="str">
        <x:v>1. Préparer un cas invalide. 2. Tenter l’opération. 3. Vérifier refus, message et absence d’effet secondaire.</x:v>
      </x:c>
      <x:c r="H141" s="42" t="str">
        <x:v>L’opération est refusée de manière sûre, sans altération des données, avec erreur corrélée et audit si applicable.</x:v>
      </x:c>
      <x:c r="I141" s="42" t="str">
        <x:v>Haute</x:v>
      </x:c>
      <x:c r="J141" s="42" t="str">
        <x:v>Synthétique invalide</x:v>
      </x:c>
      <x:c r="K141" s="42" t="str">
        <x:v>À automatiser</x:v>
      </x:c>
      <x:c r="L141" s="42" t="str">
        <x:v>Non exécuté</x:v>
      </x:c>
      <x:c r="M141" s="42" t="str"/>
    </x:row>
    <x:row r="142">
      <x:c r="A142" s="42" t="str">
        <x:v>TC-REQ-002-NOM</x:v>
      </x:c>
      <x:c r="B142" s="42" t="str">
        <x:v>REQ-002</x:v>
      </x:c>
      <x:c r="C142" s="42" t="str">
        <x:v>US-REQ-002</x:v>
      </x:c>
      <x:c r="D142" s="42" t="str">
        <x:v>Requêtes et réclamations</x:v>
      </x:c>
      <x:c r="E142" s="42" t="str">
        <x:v>Nominal</x:v>
      </x:c>
      <x:c r="F142" s="42" t="str">
        <x:v>Utilisateur authentifié, autorisé et données valides.</x:v>
      </x:c>
      <x:c r="G142" s="42" t="str">
        <x:v>1. Préparer les données. 2. Exécuter : Qualifier automatiquement ou manuellement la demande. 3. Consulter le résultat et l’audit.</x:v>
      </x:c>
      <x:c r="H142" s="42" t="str">
        <x:v>Catégorie, priorité, service, confidentialité et responsable sont définis.</x:v>
      </x:c>
      <x:c r="I142" s="42" t="str">
        <x:v>Critique</x:v>
      </x:c>
      <x:c r="J142" s="42" t="str">
        <x:v>Synthétique valide</x:v>
      </x:c>
      <x:c r="K142" s="42" t="str">
        <x:v>À automatiser</x:v>
      </x:c>
      <x:c r="L142" s="42" t="str">
        <x:v>Non exécuté</x:v>
      </x:c>
      <x:c r="M142" s="42" t="str"/>
    </x:row>
    <x:row r="143">
      <x:c r="A143" s="42" t="str">
        <x:v>TC-REQ-002-CTRL</x:v>
      </x:c>
      <x:c r="B143" s="42" t="str">
        <x:v>REQ-002</x:v>
      </x:c>
      <x:c r="C143" s="42" t="str">
        <x:v>US-REQ-002</x:v>
      </x:c>
      <x:c r="D143" s="42" t="str">
        <x:v>Requêtes et réclamations</x:v>
      </x:c>
      <x:c r="E143" s="42" t="str">
        <x:v>Contrôle négatif</x:v>
      </x:c>
      <x:c r="F143" s="42" t="str">
        <x:v>Utilisateur non autorisé ou donnée invalide.</x:v>
      </x:c>
      <x:c r="G143" s="42" t="str">
        <x:v>1. Préparer un cas invalide. 2. Tenter l’opération. 3. Vérifier refus, message et absence d’effet secondaire.</x:v>
      </x:c>
      <x:c r="H143" s="42" t="str">
        <x:v>L’opération est refusée de manière sûre, sans altération des données, avec erreur corrélée et audit si applicable.</x:v>
      </x:c>
      <x:c r="I143" s="42" t="str">
        <x:v>Haute</x:v>
      </x:c>
      <x:c r="J143" s="42" t="str">
        <x:v>Synthétique invalide</x:v>
      </x:c>
      <x:c r="K143" s="42" t="str">
        <x:v>À automatiser</x:v>
      </x:c>
      <x:c r="L143" s="42" t="str">
        <x:v>Non exécuté</x:v>
      </x:c>
      <x:c r="M143" s="42" t="str"/>
    </x:row>
    <x:row r="144">
      <x:c r="A144" s="42" t="str">
        <x:v>TC-REQ-003-NOM</x:v>
      </x:c>
      <x:c r="B144" s="42" t="str">
        <x:v>REQ-003</x:v>
      </x:c>
      <x:c r="C144" s="42" t="str">
        <x:v>US-REQ-003</x:v>
      </x:c>
      <x:c r="D144" s="42" t="str">
        <x:v>Requêtes et réclamations</x:v>
      </x:c>
      <x:c r="E144" s="42" t="str">
        <x:v>Nominal</x:v>
      </x:c>
      <x:c r="F144" s="42" t="str">
        <x:v>Utilisateur authentifié, autorisé et données valides.</x:v>
      </x:c>
      <x:c r="G144" s="42" t="str">
        <x:v>1. Préparer les données. 2. Exécuter : Affecter selon compétence, charge et groupement. 3. Consulter le résultat et l’audit.</x:v>
      </x:c>
      <x:c r="H144" s="42" t="str">
        <x:v>L’affectation automatique peut être reprise avec motif.</x:v>
      </x:c>
      <x:c r="I144" s="42" t="str">
        <x:v>Haute</x:v>
      </x:c>
      <x:c r="J144" s="42" t="str">
        <x:v>Synthétique valide</x:v>
      </x:c>
      <x:c r="K144" s="42" t="str">
        <x:v>À automatiser</x:v>
      </x:c>
      <x:c r="L144" s="42" t="str">
        <x:v>Non exécuté</x:v>
      </x:c>
      <x:c r="M144" s="42" t="str"/>
    </x:row>
    <x:row r="145">
      <x:c r="A145" s="42" t="str">
        <x:v>TC-REQ-003-CTRL</x:v>
      </x:c>
      <x:c r="B145" s="42" t="str">
        <x:v>REQ-003</x:v>
      </x:c>
      <x:c r="C145" s="42" t="str">
        <x:v>US-REQ-003</x:v>
      </x:c>
      <x:c r="D145" s="42" t="str">
        <x:v>Requêtes et réclamations</x:v>
      </x:c>
      <x:c r="E145" s="42" t="str">
        <x:v>Contrôle négatif</x:v>
      </x:c>
      <x:c r="F145" s="42" t="str">
        <x:v>Utilisateur non autorisé ou donnée invalide.</x:v>
      </x:c>
      <x:c r="G145" s="42" t="str">
        <x:v>1. Préparer un cas invalide. 2. Tenter l’opération. 3. Vérifier refus, message et absence d’effet secondaire.</x:v>
      </x:c>
      <x:c r="H145" s="42" t="str">
        <x:v>L’opération est refusée de manière sûre, sans altération des données, avec erreur corrélée et audit si applicable.</x:v>
      </x:c>
      <x:c r="I145" s="42" t="str">
        <x:v>Haute</x:v>
      </x:c>
      <x:c r="J145" s="42" t="str">
        <x:v>Synthétique invalide</x:v>
      </x:c>
      <x:c r="K145" s="42" t="str">
        <x:v>À automatiser</x:v>
      </x:c>
      <x:c r="L145" s="42" t="str">
        <x:v>Non exécuté</x:v>
      </x:c>
      <x:c r="M145" s="42" t="str"/>
    </x:row>
    <x:row r="146">
      <x:c r="A146" s="42" t="str">
        <x:v>TC-REQ-004-NOM</x:v>
      </x:c>
      <x:c r="B146" s="42" t="str">
        <x:v>REQ-004</x:v>
      </x:c>
      <x:c r="C146" s="42" t="str">
        <x:v>US-REQ-004</x:v>
      </x:c>
      <x:c r="D146" s="42" t="str">
        <x:v>Requêtes et réclamations</x:v>
      </x:c>
      <x:c r="E146" s="42" t="str">
        <x:v>Nominal</x:v>
      </x:c>
      <x:c r="F146" s="42" t="str">
        <x:v>Utilisateur authentifié, autorisé et données valides.</x:v>
      </x:c>
      <x:c r="G146" s="42" t="str">
        <x:v>1. Préparer les données. 2. Exécuter : Gérer échanges, pièces, commentaires internes et réponses externes. 3. Consulter le résultat et l’audit.</x:v>
      </x:c>
      <x:c r="H146" s="42" t="str">
        <x:v>Les notes internes ne sont jamais visibles du membre.</x:v>
      </x:c>
      <x:c r="I146" s="42" t="str">
        <x:v>Critique</x:v>
      </x:c>
      <x:c r="J146" s="42" t="str">
        <x:v>Synthétique valide</x:v>
      </x:c>
      <x:c r="K146" s="42" t="str">
        <x:v>À automatiser</x:v>
      </x:c>
      <x:c r="L146" s="42" t="str">
        <x:v>Non exécuté</x:v>
      </x:c>
      <x:c r="M146" s="42" t="str"/>
    </x:row>
    <x:row r="147">
      <x:c r="A147" s="42" t="str">
        <x:v>TC-REQ-004-CTRL</x:v>
      </x:c>
      <x:c r="B147" s="42" t="str">
        <x:v>REQ-004</x:v>
      </x:c>
      <x:c r="C147" s="42" t="str">
        <x:v>US-REQ-004</x:v>
      </x:c>
      <x:c r="D147" s="42" t="str">
        <x:v>Requêtes et réclamations</x:v>
      </x:c>
      <x:c r="E147" s="42" t="str">
        <x:v>Contrôle négatif</x:v>
      </x:c>
      <x:c r="F147" s="42" t="str">
        <x:v>Utilisateur non autorisé ou donnée invalide.</x:v>
      </x:c>
      <x:c r="G147" s="42" t="str">
        <x:v>1. Préparer un cas invalide. 2. Tenter l’opération. 3. Vérifier refus, message et absence d’effet secondaire.</x:v>
      </x:c>
      <x:c r="H147" s="42" t="str">
        <x:v>L’opération est refusée de manière sûre, sans altération des données, avec erreur corrélée et audit si applicable.</x:v>
      </x:c>
      <x:c r="I147" s="42" t="str">
        <x:v>Haute</x:v>
      </x:c>
      <x:c r="J147" s="42" t="str">
        <x:v>Synthétique invalide</x:v>
      </x:c>
      <x:c r="K147" s="42" t="str">
        <x:v>À automatiser</x:v>
      </x:c>
      <x:c r="L147" s="42" t="str">
        <x:v>Non exécuté</x:v>
      </x:c>
      <x:c r="M147" s="42" t="str"/>
    </x:row>
    <x:row r="148">
      <x:c r="A148" s="42" t="str">
        <x:v>TC-REQ-005-NOM</x:v>
      </x:c>
      <x:c r="B148" s="42" t="str">
        <x:v>REQ-005</x:v>
      </x:c>
      <x:c r="C148" s="42" t="str">
        <x:v>US-REQ-005</x:v>
      </x:c>
      <x:c r="D148" s="42" t="str">
        <x:v>Requêtes et réclamations</x:v>
      </x:c>
      <x:c r="E148" s="42" t="str">
        <x:v>Nominal</x:v>
      </x:c>
      <x:c r="F148" s="42" t="str">
        <x:v>Utilisateur authentifié, autorisé et données valides.</x:v>
      </x:c>
      <x:c r="G148" s="42" t="str">
        <x:v>1. Préparer les données. 2. Exécuter : Suivre SLA, relances internes et escalades. 3. Consulter le résultat et l’audit.</x:v>
      </x:c>
      <x:c r="H148" s="42" t="str">
        <x:v>Des alertes sont envoyées avant et après dépassement.</x:v>
      </x:c>
      <x:c r="I148" s="42" t="str">
        <x:v>Critique</x:v>
      </x:c>
      <x:c r="J148" s="42" t="str">
        <x:v>Synthétique valide</x:v>
      </x:c>
      <x:c r="K148" s="42" t="str">
        <x:v>À automatiser</x:v>
      </x:c>
      <x:c r="L148" s="42" t="str">
        <x:v>Non exécuté</x:v>
      </x:c>
      <x:c r="M148" s="42" t="str"/>
    </x:row>
    <x:row r="149">
      <x:c r="A149" s="42" t="str">
        <x:v>TC-REQ-005-CTRL</x:v>
      </x:c>
      <x:c r="B149" s="42" t="str">
        <x:v>REQ-005</x:v>
      </x:c>
      <x:c r="C149" s="42" t="str">
        <x:v>US-REQ-005</x:v>
      </x:c>
      <x:c r="D149" s="42" t="str">
        <x:v>Requêtes et réclamations</x:v>
      </x:c>
      <x:c r="E149" s="42" t="str">
        <x:v>Contrôle négatif</x:v>
      </x:c>
      <x:c r="F149" s="42" t="str">
        <x:v>Utilisateur non autorisé ou donnée invalide.</x:v>
      </x:c>
      <x:c r="G149" s="42" t="str">
        <x:v>1. Préparer un cas invalide. 2. Tenter l’opération. 3. Vérifier refus, message et absence d’effet secondaire.</x:v>
      </x:c>
      <x:c r="H149" s="42" t="str">
        <x:v>L’opération est refusée de manière sûre, sans altération des données, avec erreur corrélée et audit si applicable.</x:v>
      </x:c>
      <x:c r="I149" s="42" t="str">
        <x:v>Haute</x:v>
      </x:c>
      <x:c r="J149" s="42" t="str">
        <x:v>Synthétique invalide</x:v>
      </x:c>
      <x:c r="K149" s="42" t="str">
        <x:v>À automatiser</x:v>
      </x:c>
      <x:c r="L149" s="42" t="str">
        <x:v>Non exécuté</x:v>
      </x:c>
      <x:c r="M149" s="42" t="str"/>
    </x:row>
    <x:row r="150">
      <x:c r="A150" s="42" t="str">
        <x:v>TC-REQ-006-NOM</x:v>
      </x:c>
      <x:c r="B150" s="42" t="str">
        <x:v>REQ-006</x:v>
      </x:c>
      <x:c r="C150" s="42" t="str">
        <x:v>US-REQ-006</x:v>
      </x:c>
      <x:c r="D150" s="42" t="str">
        <x:v>Requêtes et réclamations</x:v>
      </x:c>
      <x:c r="E150" s="42" t="str">
        <x:v>Nominal</x:v>
      </x:c>
      <x:c r="F150" s="42" t="str">
        <x:v>Utilisateur authentifié, autorisé et données valides.</x:v>
      </x:c>
      <x:c r="G150" s="42" t="str">
        <x:v>1. Préparer les données. 2. Exécuter : Permettre au membre de réouvrir dans un délai paramétrable. 3. Consulter le résultat et l’audit.</x:v>
      </x:c>
      <x:c r="H150" s="42" t="str">
        <x:v>Le motif de réouverture est obligatoire.</x:v>
      </x:c>
      <x:c r="I150" s="42" t="str">
        <x:v>Haute</x:v>
      </x:c>
      <x:c r="J150" s="42" t="str">
        <x:v>Synthétique valide</x:v>
      </x:c>
      <x:c r="K150" s="42" t="str">
        <x:v>À automatiser</x:v>
      </x:c>
      <x:c r="L150" s="42" t="str">
        <x:v>Non exécuté</x:v>
      </x:c>
      <x:c r="M150" s="42" t="str"/>
    </x:row>
    <x:row r="151">
      <x:c r="A151" s="42" t="str">
        <x:v>TC-REQ-006-CTRL</x:v>
      </x:c>
      <x:c r="B151" s="42" t="str">
        <x:v>REQ-006</x:v>
      </x:c>
      <x:c r="C151" s="42" t="str">
        <x:v>US-REQ-006</x:v>
      </x:c>
      <x:c r="D151" s="42" t="str">
        <x:v>Requêtes et réclamations</x:v>
      </x:c>
      <x:c r="E151" s="42" t="str">
        <x:v>Contrôle négatif</x:v>
      </x:c>
      <x:c r="F151" s="42" t="str">
        <x:v>Utilisateur non autorisé ou donnée invalide.</x:v>
      </x:c>
      <x:c r="G151" s="42" t="str">
        <x:v>1. Préparer un cas invalide. 2. Tenter l’opération. 3. Vérifier refus, message et absence d’effet secondaire.</x:v>
      </x:c>
      <x:c r="H151" s="42" t="str">
        <x:v>L’opération est refusée de manière sûre, sans altération des données, avec erreur corrélée et audit si applicable.</x:v>
      </x:c>
      <x:c r="I151" s="42" t="str">
        <x:v>Haute</x:v>
      </x:c>
      <x:c r="J151" s="42" t="str">
        <x:v>Synthétique invalide</x:v>
      </x:c>
      <x:c r="K151" s="42" t="str">
        <x:v>À automatiser</x:v>
      </x:c>
      <x:c r="L151" s="42" t="str">
        <x:v>Non exécuté</x:v>
      </x:c>
      <x:c r="M151" s="42" t="str"/>
    </x:row>
    <x:row r="152">
      <x:c r="A152" s="42" t="str">
        <x:v>TC-REQ-007-NOM</x:v>
      </x:c>
      <x:c r="B152" s="42" t="str">
        <x:v>REQ-007</x:v>
      </x:c>
      <x:c r="C152" s="42" t="str">
        <x:v>US-REQ-007</x:v>
      </x:c>
      <x:c r="D152" s="42" t="str">
        <x:v>Requêtes et réclamations</x:v>
      </x:c>
      <x:c r="E152" s="42" t="str">
        <x:v>Nominal</x:v>
      </x:c>
      <x:c r="F152" s="42" t="str">
        <x:v>Utilisateur authentifié, autorisé et données valides.</x:v>
      </x:c>
      <x:c r="G152" s="42" t="str">
        <x:v>1. Préparer les données. 2. Exécuter : Mesurer satisfaction et qualité de service. 3. Consulter le résultat et l’audit.</x:v>
      </x:c>
      <x:c r="H152" s="42" t="str">
        <x:v>Score, verbatim et motif d’insatisfaction sont exploitables en BI.</x:v>
      </x:c>
      <x:c r="I152" s="42" t="str">
        <x:v>Haute</x:v>
      </x:c>
      <x:c r="J152" s="42" t="str">
        <x:v>Synthétique valide</x:v>
      </x:c>
      <x:c r="K152" s="42" t="str">
        <x:v>À automatiser</x:v>
      </x:c>
      <x:c r="L152" s="42" t="str">
        <x:v>Non exécuté</x:v>
      </x:c>
      <x:c r="M152" s="42" t="str"/>
    </x:row>
    <x:row r="153">
      <x:c r="A153" s="42" t="str">
        <x:v>TC-REQ-007-CTRL</x:v>
      </x:c>
      <x:c r="B153" s="42" t="str">
        <x:v>REQ-007</x:v>
      </x:c>
      <x:c r="C153" s="42" t="str">
        <x:v>US-REQ-007</x:v>
      </x:c>
      <x:c r="D153" s="42" t="str">
        <x:v>Requêtes et réclamations</x:v>
      </x:c>
      <x:c r="E153" s="42" t="str">
        <x:v>Contrôle négatif</x:v>
      </x:c>
      <x:c r="F153" s="42" t="str">
        <x:v>Utilisateur non autorisé ou donnée invalide.</x:v>
      </x:c>
      <x:c r="G153" s="42" t="str">
        <x:v>1. Préparer un cas invalide. 2. Tenter l’opération. 3. Vérifier refus, message et absence d’effet secondaire.</x:v>
      </x:c>
      <x:c r="H153" s="42" t="str">
        <x:v>L’opération est refusée de manière sûre, sans altération des données, avec erreur corrélée et audit si applicable.</x:v>
      </x:c>
      <x:c r="I153" s="42" t="str">
        <x:v>Haute</x:v>
      </x:c>
      <x:c r="J153" s="42" t="str">
        <x:v>Synthétique invalide</x:v>
      </x:c>
      <x:c r="K153" s="42" t="str">
        <x:v>À automatiser</x:v>
      </x:c>
      <x:c r="L153" s="42" t="str">
        <x:v>Non exécuté</x:v>
      </x:c>
      <x:c r="M153" s="42" t="str"/>
    </x:row>
    <x:row r="154">
      <x:c r="A154" s="42" t="str">
        <x:v>TC-REQ-008-NOM</x:v>
      </x:c>
      <x:c r="B154" s="42" t="str">
        <x:v>REQ-008</x:v>
      </x:c>
      <x:c r="C154" s="42" t="str">
        <x:v>US-REQ-008</x:v>
      </x:c>
      <x:c r="D154" s="42" t="str">
        <x:v>Requêtes et réclamations</x:v>
      </x:c>
      <x:c r="E154" s="42" t="str">
        <x:v>Nominal</x:v>
      </x:c>
      <x:c r="F154" s="42" t="str">
        <x:v>Utilisateur authentifié, autorisé et données valides.</x:v>
      </x:c>
      <x:c r="G154" s="42" t="str">
        <x:v>1. Préparer les données. 2. Exécuter : Capitaliser les réponses en base de connaissances. 3. Consulter le résultat et l’audit.</x:v>
      </x:c>
      <x:c r="H154" s="42" t="str">
        <x:v>Une réponse validée peut être transformée en article FAQ.</x:v>
      </x:c>
      <x:c r="I154" s="42" t="str">
        <x:v>Haute</x:v>
      </x:c>
      <x:c r="J154" s="42" t="str">
        <x:v>Synthétique valide</x:v>
      </x:c>
      <x:c r="K154" s="42" t="str">
        <x:v>À automatiser</x:v>
      </x:c>
      <x:c r="L154" s="42" t="str">
        <x:v>Non exécuté</x:v>
      </x:c>
      <x:c r="M154" s="42" t="str"/>
    </x:row>
    <x:row r="155">
      <x:c r="A155" s="42" t="str">
        <x:v>TC-REQ-008-CTRL</x:v>
      </x:c>
      <x:c r="B155" s="42" t="str">
        <x:v>REQ-008</x:v>
      </x:c>
      <x:c r="C155" s="42" t="str">
        <x:v>US-REQ-008</x:v>
      </x:c>
      <x:c r="D155" s="42" t="str">
        <x:v>Requêtes et réclamations</x:v>
      </x:c>
      <x:c r="E155" s="42" t="str">
        <x:v>Contrôle négatif</x:v>
      </x:c>
      <x:c r="F155" s="42" t="str">
        <x:v>Utilisateur non autorisé ou donnée invalide.</x:v>
      </x:c>
      <x:c r="G155" s="42" t="str">
        <x:v>1. Préparer un cas invalide. 2. Tenter l’opération. 3. Vérifier refus, message et absence d’effet secondaire.</x:v>
      </x:c>
      <x:c r="H155" s="42" t="str">
        <x:v>L’opération est refusée de manière sûre, sans altération des données, avec erreur corrélée et audit si applicable.</x:v>
      </x:c>
      <x:c r="I155" s="42" t="str">
        <x:v>Haute</x:v>
      </x:c>
      <x:c r="J155" s="42" t="str">
        <x:v>Synthétique invalide</x:v>
      </x:c>
      <x:c r="K155" s="42" t="str">
        <x:v>À automatiser</x:v>
      </x:c>
      <x:c r="L155" s="42" t="str">
        <x:v>Non exécuté</x:v>
      </x:c>
      <x:c r="M155" s="42" t="str"/>
    </x:row>
    <x:row r="156">
      <x:c r="A156" s="42" t="str">
        <x:v>TC-GRP-001-NOM</x:v>
      </x:c>
      <x:c r="B156" s="42" t="str">
        <x:v>GRP-001</x:v>
      </x:c>
      <x:c r="C156" s="42" t="str">
        <x:v>US-GRP-001</x:v>
      </x:c>
      <x:c r="D156" s="42" t="str">
        <x:v>Groupements professionnels</x:v>
      </x:c>
      <x:c r="E156" s="42" t="str">
        <x:v>Nominal</x:v>
      </x:c>
      <x:c r="F156" s="42" t="str">
        <x:v>Utilisateur authentifié, autorisé et données valides.</x:v>
      </x:c>
      <x:c r="G156" s="42" t="str">
        <x:v>1. Préparer les données. 2. Exécuter : Créer les groupements, responsables, mandats et zones. 3. Consulter le résultat et l’audit.</x:v>
      </x:c>
      <x:c r="H156" s="42" t="str">
        <x:v>Chaque membre est rattaché à un ou plusieurs groupements selon règles.</x:v>
      </x:c>
      <x:c r="I156" s="42" t="str">
        <x:v>Critique</x:v>
      </x:c>
      <x:c r="J156" s="42" t="str">
        <x:v>Synthétique valide</x:v>
      </x:c>
      <x:c r="K156" s="42" t="str">
        <x:v>À automatiser</x:v>
      </x:c>
      <x:c r="L156" s="42" t="str">
        <x:v>Non exécuté</x:v>
      </x:c>
      <x:c r="M156" s="42" t="str"/>
    </x:row>
    <x:row r="157">
      <x:c r="A157" s="42" t="str">
        <x:v>TC-GRP-001-CTRL</x:v>
      </x:c>
      <x:c r="B157" s="42" t="str">
        <x:v>GRP-001</x:v>
      </x:c>
      <x:c r="C157" s="42" t="str">
        <x:v>US-GRP-001</x:v>
      </x:c>
      <x:c r="D157" s="42" t="str">
        <x:v>Groupements professionnels</x:v>
      </x:c>
      <x:c r="E157" s="42" t="str">
        <x:v>Contrôle négatif</x:v>
      </x:c>
      <x:c r="F157" s="42" t="str">
        <x:v>Utilisateur non autorisé ou donnée invalide.</x:v>
      </x:c>
      <x:c r="G157" s="42" t="str">
        <x:v>1. Préparer un cas invalide. 2. Tenter l’opération. 3. Vérifier refus, message et absence d’effet secondaire.</x:v>
      </x:c>
      <x:c r="H157" s="42" t="str">
        <x:v>L’opération est refusée de manière sûre, sans altération des données, avec erreur corrélée et audit si applicable.</x:v>
      </x:c>
      <x:c r="I157" s="42" t="str">
        <x:v>Haute</x:v>
      </x:c>
      <x:c r="J157" s="42" t="str">
        <x:v>Synthétique invalide</x:v>
      </x:c>
      <x:c r="K157" s="42" t="str">
        <x:v>À automatiser</x:v>
      </x:c>
      <x:c r="L157" s="42" t="str">
        <x:v>Non exécuté</x:v>
      </x:c>
      <x:c r="M157" s="42" t="str"/>
    </x:row>
    <x:row r="158">
      <x:c r="A158" s="42" t="str">
        <x:v>TC-GRP-002-NOM</x:v>
      </x:c>
      <x:c r="B158" s="42" t="str">
        <x:v>GRP-002</x:v>
      </x:c>
      <x:c r="C158" s="42" t="str">
        <x:v>US-GRP-002</x:v>
      </x:c>
      <x:c r="D158" s="42" t="str">
        <x:v>Groupements professionnels</x:v>
      </x:c>
      <x:c r="E158" s="42" t="str">
        <x:v>Nominal</x:v>
      </x:c>
      <x:c r="F158" s="42" t="str">
        <x:v>Utilisateur authentifié, autorisé et données valides.</x:v>
      </x:c>
      <x:c r="G158" s="42" t="str">
        <x:v>1. Préparer les données. 2. Exécuter : Attribuer un portefeuille de prospects et membres. 3. Consulter le résultat et l’audit.</x:v>
      </x:c>
      <x:c r="H158" s="42" t="str">
        <x:v>Le groupement ne voit que son périmètre autorisé.</x:v>
      </x:c>
      <x:c r="I158" s="42" t="str">
        <x:v>Critique</x:v>
      </x:c>
      <x:c r="J158" s="42" t="str">
        <x:v>Synthétique valide</x:v>
      </x:c>
      <x:c r="K158" s="42" t="str">
        <x:v>À automatiser</x:v>
      </x:c>
      <x:c r="L158" s="42" t="str">
        <x:v>Non exécuté</x:v>
      </x:c>
      <x:c r="M158" s="42" t="str"/>
    </x:row>
    <x:row r="159">
      <x:c r="A159" s="42" t="str">
        <x:v>TC-GRP-002-CTRL</x:v>
      </x:c>
      <x:c r="B159" s="42" t="str">
        <x:v>GRP-002</x:v>
      </x:c>
      <x:c r="C159" s="42" t="str">
        <x:v>US-GRP-002</x:v>
      </x:c>
      <x:c r="D159" s="42" t="str">
        <x:v>Groupements professionnels</x:v>
      </x:c>
      <x:c r="E159" s="42" t="str">
        <x:v>Contrôle négatif</x:v>
      </x:c>
      <x:c r="F159" s="42" t="str">
        <x:v>Utilisateur non autorisé ou donnée invalide.</x:v>
      </x:c>
      <x:c r="G159" s="42" t="str">
        <x:v>1. Préparer un cas invalide. 2. Tenter l’opération. 3. Vérifier refus, message et absence d’effet secondaire.</x:v>
      </x:c>
      <x:c r="H159" s="42" t="str">
        <x:v>L’opération est refusée de manière sûre, sans altération des données, avec erreur corrélée et audit si applicable.</x:v>
      </x:c>
      <x:c r="I159" s="42" t="str">
        <x:v>Haute</x:v>
      </x:c>
      <x:c r="J159" s="42" t="str">
        <x:v>Synthétique invalide</x:v>
      </x:c>
      <x:c r="K159" s="42" t="str">
        <x:v>À automatiser</x:v>
      </x:c>
      <x:c r="L159" s="42" t="str">
        <x:v>Non exécuté</x:v>
      </x:c>
      <x:c r="M159" s="42" t="str"/>
    </x:row>
    <x:row r="160">
      <x:c r="A160" s="42" t="str">
        <x:v>TC-GRP-003-NOM</x:v>
      </x:c>
      <x:c r="B160" s="42" t="str">
        <x:v>GRP-003</x:v>
      </x:c>
      <x:c r="C160" s="42" t="str">
        <x:v>US-GRP-003</x:v>
      </x:c>
      <x:c r="D160" s="42" t="str">
        <x:v>Groupements professionnels</x:v>
      </x:c>
      <x:c r="E160" s="42" t="str">
        <x:v>Nominal</x:v>
      </x:c>
      <x:c r="F160" s="42" t="str">
        <x:v>Utilisateur authentifié, autorisé et données valides.</x:v>
      </x:c>
      <x:c r="G160" s="42" t="str">
        <x:v>1. Préparer les données. 2. Exécuter : Suivre objectifs d’enrôlement, cotisation et réactivation. 3. Consulter le résultat et l’audit.</x:v>
      </x:c>
      <x:c r="H160" s="42" t="str">
        <x:v>Les objectifs et réalisations sont comparables par période.</x:v>
      </x:c>
      <x:c r="I160" s="42" t="str">
        <x:v>Critique</x:v>
      </x:c>
      <x:c r="J160" s="42" t="str">
        <x:v>Synthétique valide</x:v>
      </x:c>
      <x:c r="K160" s="42" t="str">
        <x:v>À automatiser</x:v>
      </x:c>
      <x:c r="L160" s="42" t="str">
        <x:v>Non exécuté</x:v>
      </x:c>
      <x:c r="M160" s="42" t="str"/>
    </x:row>
    <x:row r="161">
      <x:c r="A161" s="42" t="str">
        <x:v>TC-GRP-003-CTRL</x:v>
      </x:c>
      <x:c r="B161" s="42" t="str">
        <x:v>GRP-003</x:v>
      </x:c>
      <x:c r="C161" s="42" t="str">
        <x:v>US-GRP-003</x:v>
      </x:c>
      <x:c r="D161" s="42" t="str">
        <x:v>Groupements professionnels</x:v>
      </x:c>
      <x:c r="E161" s="42" t="str">
        <x:v>Contrôle négatif</x:v>
      </x:c>
      <x:c r="F161" s="42" t="str">
        <x:v>Utilisateur non autorisé ou donnée invalide.</x:v>
      </x:c>
      <x:c r="G161" s="42" t="str">
        <x:v>1. Préparer un cas invalide. 2. Tenter l’opération. 3. Vérifier refus, message et absence d’effet secondaire.</x:v>
      </x:c>
      <x:c r="H161" s="42" t="str">
        <x:v>L’opération est refusée de manière sûre, sans altération des données, avec erreur corrélée et audit si applicable.</x:v>
      </x:c>
      <x:c r="I161" s="42" t="str">
        <x:v>Haute</x:v>
      </x:c>
      <x:c r="J161" s="42" t="str">
        <x:v>Synthétique invalide</x:v>
      </x:c>
      <x:c r="K161" s="42" t="str">
        <x:v>À automatiser</x:v>
      </x:c>
      <x:c r="L161" s="42" t="str">
        <x:v>Non exécuté</x:v>
      </x:c>
      <x:c r="M161" s="42" t="str"/>
    </x:row>
    <x:row r="162">
      <x:c r="A162" s="42" t="str">
        <x:v>TC-GRP-004-NOM</x:v>
      </x:c>
      <x:c r="B162" s="42" t="str">
        <x:v>GRP-004</x:v>
      </x:c>
      <x:c r="C162" s="42" t="str">
        <x:v>US-GRP-004</x:v>
      </x:c>
      <x:c r="D162" s="42" t="str">
        <x:v>Groupements professionnels</x:v>
      </x:c>
      <x:c r="E162" s="42" t="str">
        <x:v>Nominal</x:v>
      </x:c>
      <x:c r="F162" s="42" t="str">
        <x:v>Utilisateur authentifié, autorisé et données valides.</x:v>
      </x:c>
      <x:c r="G162" s="42" t="str">
        <x:v>1. Préparer les données. 2. Exécuter : Former et habiliter des référents de groupement. 3. Consulter le résultat et l’audit.</x:v>
      </x:c>
      <x:c r="H162" s="42" t="str">
        <x:v>Le système suit habilitation, date de formation et expiration.</x:v>
      </x:c>
      <x:c r="I162" s="42" t="str">
        <x:v>Haute</x:v>
      </x:c>
      <x:c r="J162" s="42" t="str">
        <x:v>Synthétique valide</x:v>
      </x:c>
      <x:c r="K162" s="42" t="str">
        <x:v>À automatiser</x:v>
      </x:c>
      <x:c r="L162" s="42" t="str">
        <x:v>Non exécuté</x:v>
      </x:c>
      <x:c r="M162" s="42" t="str"/>
    </x:row>
    <x:row r="163">
      <x:c r="A163" s="42" t="str">
        <x:v>TC-GRP-004-CTRL</x:v>
      </x:c>
      <x:c r="B163" s="42" t="str">
        <x:v>GRP-004</x:v>
      </x:c>
      <x:c r="C163" s="42" t="str">
        <x:v>US-GRP-004</x:v>
      </x:c>
      <x:c r="D163" s="42" t="str">
        <x:v>Groupements professionnels</x:v>
      </x:c>
      <x:c r="E163" s="42" t="str">
        <x:v>Contrôle négatif</x:v>
      </x:c>
      <x:c r="F163" s="42" t="str">
        <x:v>Utilisateur non autorisé ou donnée invalide.</x:v>
      </x:c>
      <x:c r="G163" s="42" t="str">
        <x:v>1. Préparer un cas invalide. 2. Tenter l’opération. 3. Vérifier refus, message et absence d’effet secondaire.</x:v>
      </x:c>
      <x:c r="H163" s="42" t="str">
        <x:v>L’opération est refusée de manière sûre, sans altération des données, avec erreur corrélée et audit si applicable.</x:v>
      </x:c>
      <x:c r="I163" s="42" t="str">
        <x:v>Haute</x:v>
      </x:c>
      <x:c r="J163" s="42" t="str">
        <x:v>Synthétique invalide</x:v>
      </x:c>
      <x:c r="K163" s="42" t="str">
        <x:v>À automatiser</x:v>
      </x:c>
      <x:c r="L163" s="42" t="str">
        <x:v>Non exécuté</x:v>
      </x:c>
      <x:c r="M163" s="42" t="str"/>
    </x:row>
    <x:row r="164">
      <x:c r="A164" s="42" t="str">
        <x:v>TC-GRP-005-NOM</x:v>
      </x:c>
      <x:c r="B164" s="42" t="str">
        <x:v>GRP-005</x:v>
      </x:c>
      <x:c r="C164" s="42" t="str">
        <x:v>US-GRP-005</x:v>
      </x:c>
      <x:c r="D164" s="42" t="str">
        <x:v>Groupements professionnels</x:v>
      </x:c>
      <x:c r="E164" s="42" t="str">
        <x:v>Nominal</x:v>
      </x:c>
      <x:c r="F164" s="42" t="str">
        <x:v>Utilisateur authentifié, autorisé et données valides.</x:v>
      </x:c>
      <x:c r="G164" s="42" t="str">
        <x:v>1. Préparer les données. 2. Exécuter : Gérer les commissions, membres, mandats et documents. 3. Consulter le résultat et l’audit.</x:v>
      </x:c>
      <x:c r="H164" s="42" t="str">
        <x:v>L’historique des compositions est conservé.</x:v>
      </x:c>
      <x:c r="I164" s="42" t="str">
        <x:v>Haute</x:v>
      </x:c>
      <x:c r="J164" s="42" t="str">
        <x:v>Synthétique valide</x:v>
      </x:c>
      <x:c r="K164" s="42" t="str">
        <x:v>À automatiser</x:v>
      </x:c>
      <x:c r="L164" s="42" t="str">
        <x:v>Non exécuté</x:v>
      </x:c>
      <x:c r="M164" s="42" t="str"/>
    </x:row>
    <x:row r="165">
      <x:c r="A165" s="42" t="str">
        <x:v>TC-GRP-005-CTRL</x:v>
      </x:c>
      <x:c r="B165" s="42" t="str">
        <x:v>GRP-005</x:v>
      </x:c>
      <x:c r="C165" s="42" t="str">
        <x:v>US-GRP-005</x:v>
      </x:c>
      <x:c r="D165" s="42" t="str">
        <x:v>Groupements professionnels</x:v>
      </x:c>
      <x:c r="E165" s="42" t="str">
        <x:v>Contrôle négatif</x:v>
      </x:c>
      <x:c r="F165" s="42" t="str">
        <x:v>Utilisateur non autorisé ou donnée invalide.</x:v>
      </x:c>
      <x:c r="G165" s="42" t="str">
        <x:v>1. Préparer un cas invalide. 2. Tenter l’opération. 3. Vérifier refus, message et absence d’effet secondaire.</x:v>
      </x:c>
      <x:c r="H165" s="42" t="str">
        <x:v>L’opération est refusée de manière sûre, sans altération des données, avec erreur corrélée et audit si applicable.</x:v>
      </x:c>
      <x:c r="I165" s="42" t="str">
        <x:v>Haute</x:v>
      </x:c>
      <x:c r="J165" s="42" t="str">
        <x:v>Synthétique invalide</x:v>
      </x:c>
      <x:c r="K165" s="42" t="str">
        <x:v>À automatiser</x:v>
      </x:c>
      <x:c r="L165" s="42" t="str">
        <x:v>Non exécuté</x:v>
      </x:c>
      <x:c r="M165" s="42" t="str"/>
    </x:row>
    <x:row r="166">
      <x:c r="A166" s="42" t="str">
        <x:v>TC-GRP-006-NOM</x:v>
      </x:c>
      <x:c r="B166" s="42" t="str">
        <x:v>GRP-006</x:v>
      </x:c>
      <x:c r="C166" s="42" t="str">
        <x:v>US-GRP-006</x:v>
      </x:c>
      <x:c r="D166" s="42" t="str">
        <x:v>Groupements professionnels</x:v>
      </x:c>
      <x:c r="E166" s="42" t="str">
        <x:v>Nominal</x:v>
      </x:c>
      <x:c r="F166" s="42" t="str">
        <x:v>Utilisateur authentifié, autorisé et données valides.</x:v>
      </x:c>
      <x:c r="G166" s="42" t="str">
        <x:v>1. Préparer les données. 2. Exécuter : Produire des tableaux de bord sectoriels. 3. Consulter le résultat et l’audit.</x:v>
      </x:c>
      <x:c r="H166" s="42" t="str">
        <x:v>Encaissements, adhésions, retard et engagement par groupement.</x:v>
      </x:c>
      <x:c r="I166" s="42" t="str">
        <x:v>Critique</x:v>
      </x:c>
      <x:c r="J166" s="42" t="str">
        <x:v>Synthétique valide</x:v>
      </x:c>
      <x:c r="K166" s="42" t="str">
        <x:v>À automatiser</x:v>
      </x:c>
      <x:c r="L166" s="42" t="str">
        <x:v>Non exécuté</x:v>
      </x:c>
      <x:c r="M166" s="42" t="str"/>
    </x:row>
    <x:row r="167">
      <x:c r="A167" s="42" t="str">
        <x:v>TC-GRP-006-CTRL</x:v>
      </x:c>
      <x:c r="B167" s="42" t="str">
        <x:v>GRP-006</x:v>
      </x:c>
      <x:c r="C167" s="42" t="str">
        <x:v>US-GRP-006</x:v>
      </x:c>
      <x:c r="D167" s="42" t="str">
        <x:v>Groupements professionnels</x:v>
      </x:c>
      <x:c r="E167" s="42" t="str">
        <x:v>Contrôle négatif</x:v>
      </x:c>
      <x:c r="F167" s="42" t="str">
        <x:v>Utilisateur non autorisé ou donnée invalide.</x:v>
      </x:c>
      <x:c r="G167" s="42" t="str">
        <x:v>1. Préparer un cas invalide. 2. Tenter l’opération. 3. Vérifier refus, message et absence d’effet secondaire.</x:v>
      </x:c>
      <x:c r="H167" s="42" t="str">
        <x:v>L’opération est refusée de manière sûre, sans altération des données, avec erreur corrélée et audit si applicable.</x:v>
      </x:c>
      <x:c r="I167" s="42" t="str">
        <x:v>Haute</x:v>
      </x:c>
      <x:c r="J167" s="42" t="str">
        <x:v>Synthétique invalide</x:v>
      </x:c>
      <x:c r="K167" s="42" t="str">
        <x:v>À automatiser</x:v>
      </x:c>
      <x:c r="L167" s="42" t="str">
        <x:v>Non exécuté</x:v>
      </x:c>
      <x:c r="M167" s="42" t="str"/>
    </x:row>
    <x:row r="168">
      <x:c r="A168" s="42" t="str">
        <x:v>TC-PRI-001-NOM</x:v>
      </x:c>
      <x:c r="B168" s="42" t="str">
        <x:v>PRI-001</x:v>
      </x:c>
      <x:c r="C168" s="42" t="str">
        <x:v>US-PRI-001</x:v>
      </x:c>
      <x:c r="D168" s="42" t="str">
        <x:v>Primes et partage de revenus</x:v>
      </x:c>
      <x:c r="E168" s="42" t="str">
        <x:v>Nominal</x:v>
      </x:c>
      <x:c r="F168" s="42" t="str">
        <x:v>Utilisateur authentifié, autorisé et données valides.</x:v>
      </x:c>
      <x:c r="G168" s="42" t="str">
        <x:v>1. Préparer les données. 2. Exécuter : Associer chaque encaissement à une catégorie de mobilisation. 3. Consulter le résultat et l’audit.</x:v>
      </x:c>
      <x:c r="H168" s="42" t="str">
        <x:v>La catégorie est déterminée par règle et peut être corrigée avec validation.</x:v>
      </x:c>
      <x:c r="I168" s="42" t="str">
        <x:v>Critique</x:v>
      </x:c>
      <x:c r="J168" s="42" t="str">
        <x:v>Synthétique valide</x:v>
      </x:c>
      <x:c r="K168" s="42" t="str">
        <x:v>À automatiser</x:v>
      </x:c>
      <x:c r="L168" s="42" t="str">
        <x:v>Non exécuté</x:v>
      </x:c>
      <x:c r="M168" s="42" t="str"/>
    </x:row>
    <x:row r="169">
      <x:c r="A169" s="42" t="str">
        <x:v>TC-PRI-001-CTRL</x:v>
      </x:c>
      <x:c r="B169" s="42" t="str">
        <x:v>PRI-001</x:v>
      </x:c>
      <x:c r="C169" s="42" t="str">
        <x:v>US-PRI-001</x:v>
      </x:c>
      <x:c r="D169" s="42" t="str">
        <x:v>Primes et partage de revenus</x:v>
      </x:c>
      <x:c r="E169" s="42" t="str">
        <x:v>Contrôle négatif</x:v>
      </x:c>
      <x:c r="F169" s="42" t="str">
        <x:v>Utilisateur non autorisé ou donnée invalide.</x:v>
      </x:c>
      <x:c r="G169" s="42" t="str">
        <x:v>1. Préparer un cas invalide. 2. Tenter l’opération. 3. Vérifier refus, message et absence d’effet secondaire.</x:v>
      </x:c>
      <x:c r="H169" s="42" t="str">
        <x:v>L’opération est refusée de manière sûre, sans altération des données, avec erreur corrélée et audit si applicable.</x:v>
      </x:c>
      <x:c r="I169" s="42" t="str">
        <x:v>Critique</x:v>
      </x:c>
      <x:c r="J169" s="42" t="str">
        <x:v>Synthétique invalide</x:v>
      </x:c>
      <x:c r="K169" s="42" t="str">
        <x:v>À automatiser</x:v>
      </x:c>
      <x:c r="L169" s="42" t="str">
        <x:v>Non exécuté</x:v>
      </x:c>
      <x:c r="M169" s="42" t="str"/>
    </x:row>
    <x:row r="170">
      <x:c r="A170" s="42" t="str">
        <x:v>TC-PRI-001-CRIT</x:v>
      </x:c>
      <x:c r="B170" s="42" t="str">
        <x:v>PRI-001</x:v>
      </x:c>
      <x:c r="C170" s="42" t="str">
        <x:v>US-PRI-001</x:v>
      </x:c>
      <x:c r="D170" s="42" t="str">
        <x:v>Primes et partage de revenus</x:v>
      </x:c>
      <x:c r="E170" s="42" t="str">
        <x:v>Critique / répétition</x:v>
      </x:c>
      <x:c r="F170" s="42" t="str">
        <x:v>Même requête rejouée ou opérations concurrentes.</x:v>
      </x:c>
      <x:c r="G170" s="42" t="str">
        <x:v>1. Exécuter l’opération. 2. Rejouer avec la même clé ou en concurrence. 3. Contrôler PostgreSQL et l’audit.</x:v>
      </x:c>
      <x:c r="H170" s="42" t="str">
        <x:v>Un seul effet métier est produit ; aucune double écriture, aucun contournement de permission et aucune incohérence.</x:v>
      </x:c>
      <x:c r="I170" s="42" t="str">
        <x:v>Critique</x:v>
      </x:c>
      <x:c r="J170" s="42" t="str">
        <x:v>Synthétique concurrence</x:v>
      </x:c>
      <x:c r="K170" s="42" t="str">
        <x:v>Obligatoire</x:v>
      </x:c>
      <x:c r="L170" s="42" t="str">
        <x:v>Non exécuté</x:v>
      </x:c>
      <x:c r="M170" s="42" t="str"/>
    </x:row>
    <x:row r="171">
      <x:c r="A171" s="42" t="str">
        <x:v>TC-PRI-002-NOM</x:v>
      </x:c>
      <x:c r="B171" s="42" t="str">
        <x:v>PRI-002</x:v>
      </x:c>
      <x:c r="C171" s="42" t="str">
        <x:v>US-PRI-002</x:v>
      </x:c>
      <x:c r="D171" s="42" t="str">
        <x:v>Primes et partage de revenus</x:v>
      </x:c>
      <x:c r="E171" s="42" t="str">
        <x:v>Nominal</x:v>
      </x:c>
      <x:c r="F171" s="42" t="str">
        <x:v>Utilisateur authentifié, autorisé et données valides.</x:v>
      </x:c>
      <x:c r="G171" s="42" t="str">
        <x:v>1. Préparer les données. 2. Exécuter : Calculer automatiquement la prime selon taux, base et plafonds. 3. Consulter le résultat et l’audit.</x:v>
      </x:c>
      <x:c r="H171" s="42" t="str">
        <x:v>Le détail de calcul est explicable et exportable.</x:v>
      </x:c>
      <x:c r="I171" s="42" t="str">
        <x:v>Critique</x:v>
      </x:c>
      <x:c r="J171" s="42" t="str">
        <x:v>Synthétique valide</x:v>
      </x:c>
      <x:c r="K171" s="42" t="str">
        <x:v>À automatiser</x:v>
      </x:c>
      <x:c r="L171" s="42" t="str">
        <x:v>Non exécuté</x:v>
      </x:c>
      <x:c r="M171" s="42" t="str"/>
    </x:row>
    <x:row r="172">
      <x:c r="A172" s="42" t="str">
        <x:v>TC-PRI-002-CTRL</x:v>
      </x:c>
      <x:c r="B172" s="42" t="str">
        <x:v>PRI-002</x:v>
      </x:c>
      <x:c r="C172" s="42" t="str">
        <x:v>US-PRI-002</x:v>
      </x:c>
      <x:c r="D172" s="42" t="str">
        <x:v>Primes et partage de revenus</x:v>
      </x:c>
      <x:c r="E172" s="42" t="str">
        <x:v>Contrôle négatif</x:v>
      </x:c>
      <x:c r="F172" s="42" t="str">
        <x:v>Utilisateur non autorisé ou donnée invalide.</x:v>
      </x:c>
      <x:c r="G172" s="42" t="str">
        <x:v>1. Préparer un cas invalide. 2. Tenter l’opération. 3. Vérifier refus, message et absence d’effet secondaire.</x:v>
      </x:c>
      <x:c r="H172" s="42" t="str">
        <x:v>L’opération est refusée de manière sûre, sans altération des données, avec erreur corrélée et audit si applicable.</x:v>
      </x:c>
      <x:c r="I172" s="42" t="str">
        <x:v>Critique</x:v>
      </x:c>
      <x:c r="J172" s="42" t="str">
        <x:v>Synthétique invalide</x:v>
      </x:c>
      <x:c r="K172" s="42" t="str">
        <x:v>À automatiser</x:v>
      </x:c>
      <x:c r="L172" s="42" t="str">
        <x:v>Non exécuté</x:v>
      </x:c>
      <x:c r="M172" s="42" t="str"/>
    </x:row>
    <x:row r="173">
      <x:c r="A173" s="42" t="str">
        <x:v>TC-PRI-002-CRIT</x:v>
      </x:c>
      <x:c r="B173" s="42" t="str">
        <x:v>PRI-002</x:v>
      </x:c>
      <x:c r="C173" s="42" t="str">
        <x:v>US-PRI-002</x:v>
      </x:c>
      <x:c r="D173" s="42" t="str">
        <x:v>Primes et partage de revenus</x:v>
      </x:c>
      <x:c r="E173" s="42" t="str">
        <x:v>Critique / répétition</x:v>
      </x:c>
      <x:c r="F173" s="42" t="str">
        <x:v>Même requête rejouée ou opérations concurrentes.</x:v>
      </x:c>
      <x:c r="G173" s="42" t="str">
        <x:v>1. Exécuter l’opération. 2. Rejouer avec la même clé ou en concurrence. 3. Contrôler PostgreSQL et l’audit.</x:v>
      </x:c>
      <x:c r="H173" s="42" t="str">
        <x:v>Un seul effet métier est produit ; aucune double écriture, aucun contournement de permission et aucune incohérence.</x:v>
      </x:c>
      <x:c r="I173" s="42" t="str">
        <x:v>Critique</x:v>
      </x:c>
      <x:c r="J173" s="42" t="str">
        <x:v>Synthétique concurrence</x:v>
      </x:c>
      <x:c r="K173" s="42" t="str">
        <x:v>Obligatoire</x:v>
      </x:c>
      <x:c r="L173" s="42" t="str">
        <x:v>Non exécuté</x:v>
      </x:c>
      <x:c r="M173" s="42" t="str"/>
    </x:row>
    <x:row r="174">
      <x:c r="A174" s="42" t="str">
        <x:v>TC-PRI-003-NOM</x:v>
      </x:c>
      <x:c r="B174" s="42" t="str">
        <x:v>PRI-003</x:v>
      </x:c>
      <x:c r="C174" s="42" t="str">
        <x:v>US-PRI-003</x:v>
      </x:c>
      <x:c r="D174" s="42" t="str">
        <x:v>Primes et partage de revenus</x:v>
      </x:c>
      <x:c r="E174" s="42" t="str">
        <x:v>Nominal</x:v>
      </x:c>
      <x:c r="F174" s="42" t="str">
        <x:v>Utilisateur authentifié, autorisé et données valides.</x:v>
      </x:c>
      <x:c r="G174" s="42" t="str">
        <x:v>1. Préparer les données. 2. Exécuter : Gérer contestations, corrections et rétrocessions. 3. Consulter le résultat et l’audit.</x:v>
      </x:c>
      <x:c r="H174" s="42" t="str">
        <x:v>Aucune suppression; les ajustements sont tracés.</x:v>
      </x:c>
      <x:c r="I174" s="42" t="str">
        <x:v>Critique</x:v>
      </x:c>
      <x:c r="J174" s="42" t="str">
        <x:v>Synthétique valide</x:v>
      </x:c>
      <x:c r="K174" s="42" t="str">
        <x:v>À automatiser</x:v>
      </x:c>
      <x:c r="L174" s="42" t="str">
        <x:v>Non exécuté</x:v>
      </x:c>
      <x:c r="M174" s="42" t="str"/>
    </x:row>
    <x:row r="175">
      <x:c r="A175" s="42" t="str">
        <x:v>TC-PRI-003-CTRL</x:v>
      </x:c>
      <x:c r="B175" s="42" t="str">
        <x:v>PRI-003</x:v>
      </x:c>
      <x:c r="C175" s="42" t="str">
        <x:v>US-PRI-003</x:v>
      </x:c>
      <x:c r="D175" s="42" t="str">
        <x:v>Primes et partage de revenus</x:v>
      </x:c>
      <x:c r="E175" s="42" t="str">
        <x:v>Contrôle négatif</x:v>
      </x:c>
      <x:c r="F175" s="42" t="str">
        <x:v>Utilisateur non autorisé ou donnée invalide.</x:v>
      </x:c>
      <x:c r="G175" s="42" t="str">
        <x:v>1. Préparer un cas invalide. 2. Tenter l’opération. 3. Vérifier refus, message et absence d’effet secondaire.</x:v>
      </x:c>
      <x:c r="H175" s="42" t="str">
        <x:v>L’opération est refusée de manière sûre, sans altération des données, avec erreur corrélée et audit si applicable.</x:v>
      </x:c>
      <x:c r="I175" s="42" t="str">
        <x:v>Critique</x:v>
      </x:c>
      <x:c r="J175" s="42" t="str">
        <x:v>Synthétique invalide</x:v>
      </x:c>
      <x:c r="K175" s="42" t="str">
        <x:v>À automatiser</x:v>
      </x:c>
      <x:c r="L175" s="42" t="str">
        <x:v>Non exécuté</x:v>
      </x:c>
      <x:c r="M175" s="42" t="str"/>
    </x:row>
    <x:row r="176">
      <x:c r="A176" s="42" t="str">
        <x:v>TC-PRI-003-CRIT</x:v>
      </x:c>
      <x:c r="B176" s="42" t="str">
        <x:v>PRI-003</x:v>
      </x:c>
      <x:c r="C176" s="42" t="str">
        <x:v>US-PRI-003</x:v>
      </x:c>
      <x:c r="D176" s="42" t="str">
        <x:v>Primes et partage de revenus</x:v>
      </x:c>
      <x:c r="E176" s="42" t="str">
        <x:v>Critique / répétition</x:v>
      </x:c>
      <x:c r="F176" s="42" t="str">
        <x:v>Même requête rejouée ou opérations concurrentes.</x:v>
      </x:c>
      <x:c r="G176" s="42" t="str">
        <x:v>1. Exécuter l’opération. 2. Rejouer avec la même clé ou en concurrence. 3. Contrôler PostgreSQL et l’audit.</x:v>
      </x:c>
      <x:c r="H176" s="42" t="str">
        <x:v>Un seul effet métier est produit ; aucune double écriture, aucun contournement de permission et aucune incohérence.</x:v>
      </x:c>
      <x:c r="I176" s="42" t="str">
        <x:v>Critique</x:v>
      </x:c>
      <x:c r="J176" s="42" t="str">
        <x:v>Synthétique concurrence</x:v>
      </x:c>
      <x:c r="K176" s="42" t="str">
        <x:v>Obligatoire</x:v>
      </x:c>
      <x:c r="L176" s="42" t="str">
        <x:v>Non exécuté</x:v>
      </x:c>
      <x:c r="M176" s="42" t="str"/>
    </x:row>
    <x:row r="177">
      <x:c r="A177" s="42" t="str">
        <x:v>TC-PRI-004-NOM</x:v>
      </x:c>
      <x:c r="B177" s="42" t="str">
        <x:v>PRI-004</x:v>
      </x:c>
      <x:c r="C177" s="42" t="str">
        <x:v>US-PRI-004</x:v>
      </x:c>
      <x:c r="D177" s="42" t="str">
        <x:v>Primes et partage de revenus</x:v>
      </x:c>
      <x:c r="E177" s="42" t="str">
        <x:v>Nominal</x:v>
      </x:c>
      <x:c r="F177" s="42" t="str">
        <x:v>Utilisateur authentifié, autorisé et données valides.</x:v>
      </x:c>
      <x:c r="G177" s="42" t="str">
        <x:v>1. Préparer les données. 2. Exécuter : Produire un état mensuel soumis à commission de vérification. 3. Consulter le résultat et l’audit.</x:v>
      </x:c>
      <x:c r="H177" s="42" t="str">
        <x:v>État par agent, catégorie, membre, encaissement et montant.</x:v>
      </x:c>
      <x:c r="I177" s="42" t="str">
        <x:v>Critique</x:v>
      </x:c>
      <x:c r="J177" s="42" t="str">
        <x:v>Synthétique valide</x:v>
      </x:c>
      <x:c r="K177" s="42" t="str">
        <x:v>À automatiser</x:v>
      </x:c>
      <x:c r="L177" s="42" t="str">
        <x:v>Non exécuté</x:v>
      </x:c>
      <x:c r="M177" s="42" t="str"/>
    </x:row>
    <x:row r="178">
      <x:c r="A178" s="42" t="str">
        <x:v>TC-PRI-004-CTRL</x:v>
      </x:c>
      <x:c r="B178" s="42" t="str">
        <x:v>PRI-004</x:v>
      </x:c>
      <x:c r="C178" s="42" t="str">
        <x:v>US-PRI-004</x:v>
      </x:c>
      <x:c r="D178" s="42" t="str">
        <x:v>Primes et partage de revenus</x:v>
      </x:c>
      <x:c r="E178" s="42" t="str">
        <x:v>Contrôle négatif</x:v>
      </x:c>
      <x:c r="F178" s="42" t="str">
        <x:v>Utilisateur non autorisé ou donnée invalide.</x:v>
      </x:c>
      <x:c r="G178" s="42" t="str">
        <x:v>1. Préparer un cas invalide. 2. Tenter l’opération. 3. Vérifier refus, message et absence d’effet secondaire.</x:v>
      </x:c>
      <x:c r="H178" s="42" t="str">
        <x:v>L’opération est refusée de manière sûre, sans altération des données, avec erreur corrélée et audit si applicable.</x:v>
      </x:c>
      <x:c r="I178" s="42" t="str">
        <x:v>Critique</x:v>
      </x:c>
      <x:c r="J178" s="42" t="str">
        <x:v>Synthétique invalide</x:v>
      </x:c>
      <x:c r="K178" s="42" t="str">
        <x:v>À automatiser</x:v>
      </x:c>
      <x:c r="L178" s="42" t="str">
        <x:v>Non exécuté</x:v>
      </x:c>
      <x:c r="M178" s="42" t="str"/>
    </x:row>
    <x:row r="179">
      <x:c r="A179" s="42" t="str">
        <x:v>TC-PRI-004-CRIT</x:v>
      </x:c>
      <x:c r="B179" s="42" t="str">
        <x:v>PRI-004</x:v>
      </x:c>
      <x:c r="C179" s="42" t="str">
        <x:v>US-PRI-004</x:v>
      </x:c>
      <x:c r="D179" s="42" t="str">
        <x:v>Primes et partage de revenus</x:v>
      </x:c>
      <x:c r="E179" s="42" t="str">
        <x:v>Critique / répétition</x:v>
      </x:c>
      <x:c r="F179" s="42" t="str">
        <x:v>Même requête rejouée ou opérations concurrentes.</x:v>
      </x:c>
      <x:c r="G179" s="42" t="str">
        <x:v>1. Exécuter l’opération. 2. Rejouer avec la même clé ou en concurrence. 3. Contrôler PostgreSQL et l’audit.</x:v>
      </x:c>
      <x:c r="H179" s="42" t="str">
        <x:v>Un seul effet métier est produit ; aucune double écriture, aucun contournement de permission et aucune incohérence.</x:v>
      </x:c>
      <x:c r="I179" s="42" t="str">
        <x:v>Critique</x:v>
      </x:c>
      <x:c r="J179" s="42" t="str">
        <x:v>Synthétique concurrence</x:v>
      </x:c>
      <x:c r="K179" s="42" t="str">
        <x:v>Obligatoire</x:v>
      </x:c>
      <x:c r="L179" s="42" t="str">
        <x:v>Non exécuté</x:v>
      </x:c>
      <x:c r="M179" s="42" t="str"/>
    </x:row>
    <x:row r="180">
      <x:c r="A180" s="42" t="str">
        <x:v>TC-PRI-005-NOM</x:v>
      </x:c>
      <x:c r="B180" s="42" t="str">
        <x:v>PRI-005</x:v>
      </x:c>
      <x:c r="C180" s="42" t="str">
        <x:v>US-PRI-005</x:v>
      </x:c>
      <x:c r="D180" s="42" t="str">
        <x:v>Primes et partage de revenus</x:v>
      </x:c>
      <x:c r="E180" s="42" t="str">
        <x:v>Nominal</x:v>
      </x:c>
      <x:c r="F180" s="42" t="str">
        <x:v>Utilisateur authentifié, autorisé et données valides.</x:v>
      </x:c>
      <x:c r="G180" s="42" t="str">
        <x:v>1. Préparer les données. 2. Exécuter : Valider puis figer la période de prime. 3. Consulter le résultat et l’audit.</x:v>
      </x:c>
      <x:c r="H180" s="42" t="str">
        <x:v>Une période clôturée ne change que par réouverture autorisée.</x:v>
      </x:c>
      <x:c r="I180" s="42" t="str">
        <x:v>Critique</x:v>
      </x:c>
      <x:c r="J180" s="42" t="str">
        <x:v>Synthétique valide</x:v>
      </x:c>
      <x:c r="K180" s="42" t="str">
        <x:v>À automatiser</x:v>
      </x:c>
      <x:c r="L180" s="42" t="str">
        <x:v>Non exécuté</x:v>
      </x:c>
      <x:c r="M180" s="42" t="str"/>
    </x:row>
    <x:row r="181">
      <x:c r="A181" s="42" t="str">
        <x:v>TC-PRI-005-CTRL</x:v>
      </x:c>
      <x:c r="B181" s="42" t="str">
        <x:v>PRI-005</x:v>
      </x:c>
      <x:c r="C181" s="42" t="str">
        <x:v>US-PRI-005</x:v>
      </x:c>
      <x:c r="D181" s="42" t="str">
        <x:v>Primes et partage de revenus</x:v>
      </x:c>
      <x:c r="E181" s="42" t="str">
        <x:v>Contrôle négatif</x:v>
      </x:c>
      <x:c r="F181" s="42" t="str">
        <x:v>Utilisateur non autorisé ou donnée invalide.</x:v>
      </x:c>
      <x:c r="G181" s="42" t="str">
        <x:v>1. Préparer un cas invalide. 2. Tenter l’opération. 3. Vérifier refus, message et absence d’effet secondaire.</x:v>
      </x:c>
      <x:c r="H181" s="42" t="str">
        <x:v>L’opération est refusée de manière sûre, sans altération des données, avec erreur corrélée et audit si applicable.</x:v>
      </x:c>
      <x:c r="I181" s="42" t="str">
        <x:v>Critique</x:v>
      </x:c>
      <x:c r="J181" s="42" t="str">
        <x:v>Synthétique invalide</x:v>
      </x:c>
      <x:c r="K181" s="42" t="str">
        <x:v>À automatiser</x:v>
      </x:c>
      <x:c r="L181" s="42" t="str">
        <x:v>Non exécuté</x:v>
      </x:c>
      <x:c r="M181" s="42" t="str"/>
    </x:row>
    <x:row r="182">
      <x:c r="A182" s="42" t="str">
        <x:v>TC-PRI-005-CRIT</x:v>
      </x:c>
      <x:c r="B182" s="42" t="str">
        <x:v>PRI-005</x:v>
      </x:c>
      <x:c r="C182" s="42" t="str">
        <x:v>US-PRI-005</x:v>
      </x:c>
      <x:c r="D182" s="42" t="str">
        <x:v>Primes et partage de revenus</x:v>
      </x:c>
      <x:c r="E182" s="42" t="str">
        <x:v>Critique / répétition</x:v>
      </x:c>
      <x:c r="F182" s="42" t="str">
        <x:v>Même requête rejouée ou opérations concurrentes.</x:v>
      </x:c>
      <x:c r="G182" s="42" t="str">
        <x:v>1. Exécuter l’opération. 2. Rejouer avec la même clé ou en concurrence. 3. Contrôler PostgreSQL et l’audit.</x:v>
      </x:c>
      <x:c r="H182" s="42" t="str">
        <x:v>Un seul effet métier est produit ; aucune double écriture, aucun contournement de permission et aucune incohérence.</x:v>
      </x:c>
      <x:c r="I182" s="42" t="str">
        <x:v>Critique</x:v>
      </x:c>
      <x:c r="J182" s="42" t="str">
        <x:v>Synthétique concurrence</x:v>
      </x:c>
      <x:c r="K182" s="42" t="str">
        <x:v>Obligatoire</x:v>
      </x:c>
      <x:c r="L182" s="42" t="str">
        <x:v>Non exécuté</x:v>
      </x:c>
      <x:c r="M182" s="42" t="str"/>
    </x:row>
    <x:row r="183">
      <x:c r="A183" s="42" t="str">
        <x:v>TC-PRI-006-NOM</x:v>
      </x:c>
      <x:c r="B183" s="42" t="str">
        <x:v>PRI-006</x:v>
      </x:c>
      <x:c r="C183" s="42" t="str">
        <x:v>US-PRI-006</x:v>
      </x:c>
      <x:c r="D183" s="42" t="str">
        <x:v>Primes et partage de revenus</x:v>
      </x:c>
      <x:c r="E183" s="42" t="str">
        <x:v>Nominal</x:v>
      </x:c>
      <x:c r="F183" s="42" t="str">
        <x:v>Utilisateur authentifié, autorisé et données valides.</x:v>
      </x:c>
      <x:c r="G183" s="42" t="str">
        <x:v>1. Préparer les données. 2. Exécuter : Calculer la rémunération du prestataire sur encaissements éligibles. 3. Consulter le résultat et l’audit.</x:v>
      </x:c>
      <x:c r="H183" s="42" t="str">
        <x:v>Les cotisants maintenus sur l’ancien système sont exclus.</x:v>
      </x:c>
      <x:c r="I183" s="42" t="str">
        <x:v>Critique</x:v>
      </x:c>
      <x:c r="J183" s="42" t="str">
        <x:v>Synthétique valide</x:v>
      </x:c>
      <x:c r="K183" s="42" t="str">
        <x:v>À automatiser</x:v>
      </x:c>
      <x:c r="L183" s="42" t="str">
        <x:v>Non exécuté</x:v>
      </x:c>
      <x:c r="M183" s="42" t="str"/>
    </x:row>
    <x:row r="184">
      <x:c r="A184" s="42" t="str">
        <x:v>TC-PRI-006-CTRL</x:v>
      </x:c>
      <x:c r="B184" s="42" t="str">
        <x:v>PRI-006</x:v>
      </x:c>
      <x:c r="C184" s="42" t="str">
        <x:v>US-PRI-006</x:v>
      </x:c>
      <x:c r="D184" s="42" t="str">
        <x:v>Primes et partage de revenus</x:v>
      </x:c>
      <x:c r="E184" s="42" t="str">
        <x:v>Contrôle négatif</x:v>
      </x:c>
      <x:c r="F184" s="42" t="str">
        <x:v>Utilisateur non autorisé ou donnée invalide.</x:v>
      </x:c>
      <x:c r="G184" s="42" t="str">
        <x:v>1. Préparer un cas invalide. 2. Tenter l’opération. 3. Vérifier refus, message et absence d’effet secondaire.</x:v>
      </x:c>
      <x:c r="H184" s="42" t="str">
        <x:v>L’opération est refusée de manière sûre, sans altération des données, avec erreur corrélée et audit si applicable.</x:v>
      </x:c>
      <x:c r="I184" s="42" t="str">
        <x:v>Critique</x:v>
      </x:c>
      <x:c r="J184" s="42" t="str">
        <x:v>Synthétique invalide</x:v>
      </x:c>
      <x:c r="K184" s="42" t="str">
        <x:v>À automatiser</x:v>
      </x:c>
      <x:c r="L184" s="42" t="str">
        <x:v>Non exécuté</x:v>
      </x:c>
      <x:c r="M184" s="42" t="str"/>
    </x:row>
    <x:row r="185">
      <x:c r="A185" s="42" t="str">
        <x:v>TC-PRI-006-CRIT</x:v>
      </x:c>
      <x:c r="B185" s="42" t="str">
        <x:v>PRI-006</x:v>
      </x:c>
      <x:c r="C185" s="42" t="str">
        <x:v>US-PRI-006</x:v>
      </x:c>
      <x:c r="D185" s="42" t="str">
        <x:v>Primes et partage de revenus</x:v>
      </x:c>
      <x:c r="E185" s="42" t="str">
        <x:v>Critique / répétition</x:v>
      </x:c>
      <x:c r="F185" s="42" t="str">
        <x:v>Même requête rejouée ou opérations concurrentes.</x:v>
      </x:c>
      <x:c r="G185" s="42" t="str">
        <x:v>1. Exécuter l’opération. 2. Rejouer avec la même clé ou en concurrence. 3. Contrôler PostgreSQL et l’audit.</x:v>
      </x:c>
      <x:c r="H185" s="42" t="str">
        <x:v>Un seul effet métier est produit ; aucune double écriture, aucun contournement de permission et aucune incohérence.</x:v>
      </x:c>
      <x:c r="I185" s="42" t="str">
        <x:v>Critique</x:v>
      </x:c>
      <x:c r="J185" s="42" t="str">
        <x:v>Synthétique concurrence</x:v>
      </x:c>
      <x:c r="K185" s="42" t="str">
        <x:v>Obligatoire</x:v>
      </x:c>
      <x:c r="L185" s="42" t="str">
        <x:v>Non exécuté</x:v>
      </x:c>
      <x:c r="M185" s="42" t="str"/>
    </x:row>
    <x:row r="186">
      <x:c r="A186" s="42" t="str">
        <x:v>TC-PRI-007-NOM</x:v>
      </x:c>
      <x:c r="B186" s="42" t="str">
        <x:v>PRI-007</x:v>
      </x:c>
      <x:c r="C186" s="42" t="str">
        <x:v>US-PRI-007</x:v>
      </x:c>
      <x:c r="D186" s="42" t="str">
        <x:v>Primes et partage de revenus</x:v>
      </x:c>
      <x:c r="E186" s="42" t="str">
        <x:v>Nominal</x:v>
      </x:c>
      <x:c r="F186" s="42" t="str">
        <x:v>Utilisateur authentifié, autorisé et données valides.</x:v>
      </x:c>
      <x:c r="G186" s="42" t="str">
        <x:v>1. Préparer les données. 2. Exécuter : Comparer encaissement brut, frais canal, prime et net CNPM. 3. Consulter le résultat et l’audit.</x:v>
      </x:c>
      <x:c r="H186" s="42" t="str">
        <x:v>Le rapport de réconciliation détaille chaque composante.</x:v>
      </x:c>
      <x:c r="I186" s="42" t="str">
        <x:v>Haute</x:v>
      </x:c>
      <x:c r="J186" s="42" t="str">
        <x:v>Synthétique valide</x:v>
      </x:c>
      <x:c r="K186" s="42" t="str">
        <x:v>À automatiser</x:v>
      </x:c>
      <x:c r="L186" s="42" t="str">
        <x:v>Non exécuté</x:v>
      </x:c>
      <x:c r="M186" s="42" t="str"/>
    </x:row>
    <x:row r="187">
      <x:c r="A187" s="42" t="str">
        <x:v>TC-PRI-007-CTRL</x:v>
      </x:c>
      <x:c r="B187" s="42" t="str">
        <x:v>PRI-007</x:v>
      </x:c>
      <x:c r="C187" s="42" t="str">
        <x:v>US-PRI-007</x:v>
      </x:c>
      <x:c r="D187" s="42" t="str">
        <x:v>Primes et partage de revenus</x:v>
      </x:c>
      <x:c r="E187" s="42" t="str">
        <x:v>Contrôle négatif</x:v>
      </x:c>
      <x:c r="F187" s="42" t="str">
        <x:v>Utilisateur non autorisé ou donnée invalide.</x:v>
      </x:c>
      <x:c r="G187" s="42" t="str">
        <x:v>1. Préparer un cas invalide. 2. Tenter l’opération. 3. Vérifier refus, message et absence d’effet secondaire.</x:v>
      </x:c>
      <x:c r="H187" s="42" t="str">
        <x:v>L’opération est refusée de manière sûre, sans altération des données, avec erreur corrélée et audit si applicable.</x:v>
      </x:c>
      <x:c r="I187" s="42" t="str">
        <x:v>Critique</x:v>
      </x:c>
      <x:c r="J187" s="42" t="str">
        <x:v>Synthétique invalide</x:v>
      </x:c>
      <x:c r="K187" s="42" t="str">
        <x:v>À automatiser</x:v>
      </x:c>
      <x:c r="L187" s="42" t="str">
        <x:v>Non exécuté</x:v>
      </x:c>
      <x:c r="M187" s="42" t="str"/>
    </x:row>
    <x:row r="188">
      <x:c r="A188" s="42" t="str">
        <x:v>TC-PRI-007-CRIT</x:v>
      </x:c>
      <x:c r="B188" s="42" t="str">
        <x:v>PRI-007</x:v>
      </x:c>
      <x:c r="C188" s="42" t="str">
        <x:v>US-PRI-007</x:v>
      </x:c>
      <x:c r="D188" s="42" t="str">
        <x:v>Primes et partage de revenus</x:v>
      </x:c>
      <x:c r="E188" s="42" t="str">
        <x:v>Critique / répétition</x:v>
      </x:c>
      <x:c r="F188" s="42" t="str">
        <x:v>Même requête rejouée ou opérations concurrentes.</x:v>
      </x:c>
      <x:c r="G188" s="42" t="str">
        <x:v>1. Exécuter l’opération. 2. Rejouer avec la même clé ou en concurrence. 3. Contrôler PostgreSQL et l’audit.</x:v>
      </x:c>
      <x:c r="H188" s="42" t="str">
        <x:v>Un seul effet métier est produit ; aucune double écriture, aucun contournement de permission et aucune incohérence.</x:v>
      </x:c>
      <x:c r="I188" s="42" t="str">
        <x:v>Critique</x:v>
      </x:c>
      <x:c r="J188" s="42" t="str">
        <x:v>Synthétique concurrence</x:v>
      </x:c>
      <x:c r="K188" s="42" t="str">
        <x:v>Obligatoire</x:v>
      </x:c>
      <x:c r="L188" s="42" t="str">
        <x:v>Non exécuté</x:v>
      </x:c>
      <x:c r="M188" s="42" t="str"/>
    </x:row>
    <x:row r="189">
      <x:c r="A189" s="42" t="str">
        <x:v>TC-GED-001-NOM</x:v>
      </x:c>
      <x:c r="B189" s="42" t="str">
        <x:v>GED-001</x:v>
      </x:c>
      <x:c r="C189" s="42" t="str">
        <x:v>US-GED-001</x:v>
      </x:c>
      <x:c r="D189" s="42" t="str">
        <x:v>Gestion électronique des documents</x:v>
      </x:c>
      <x:c r="E189" s="42" t="str">
        <x:v>Nominal</x:v>
      </x:c>
      <x:c r="F189" s="42" t="str">
        <x:v>Utilisateur authentifié, autorisé et données valides.</x:v>
      </x:c>
      <x:c r="G189" s="42" t="str">
        <x:v>1. Préparer les données. 2. Exécuter : Stocker les documents avec type, version, date, auteur et confidentialité. 3. Consulter le résultat et l’audit.</x:v>
      </x:c>
      <x:c r="H189" s="42" t="str">
        <x:v>Chaque document est rattaché à un objet métier et historisé.</x:v>
      </x:c>
      <x:c r="I189" s="42" t="str">
        <x:v>Critique</x:v>
      </x:c>
      <x:c r="J189" s="42" t="str">
        <x:v>Synthétique valide</x:v>
      </x:c>
      <x:c r="K189" s="42" t="str">
        <x:v>À automatiser</x:v>
      </x:c>
      <x:c r="L189" s="42" t="str">
        <x:v>Non exécuté</x:v>
      </x:c>
      <x:c r="M189" s="42" t="str"/>
    </x:row>
    <x:row r="190">
      <x:c r="A190" s="42" t="str">
        <x:v>TC-GED-001-CTRL</x:v>
      </x:c>
      <x:c r="B190" s="42" t="str">
        <x:v>GED-001</x:v>
      </x:c>
      <x:c r="C190" s="42" t="str">
        <x:v>US-GED-001</x:v>
      </x:c>
      <x:c r="D190" s="42" t="str">
        <x:v>Gestion électronique des documents</x:v>
      </x:c>
      <x:c r="E190" s="42" t="str">
        <x:v>Contrôle négatif</x:v>
      </x:c>
      <x:c r="F190" s="42" t="str">
        <x:v>Utilisateur non autorisé ou donnée invalide.</x:v>
      </x:c>
      <x:c r="G190" s="42" t="str">
        <x:v>1. Préparer un cas invalide. 2. Tenter l’opération. 3. Vérifier refus, message et absence d’effet secondaire.</x:v>
      </x:c>
      <x:c r="H190" s="42" t="str">
        <x:v>L’opération est refusée de manière sûre, sans altération des données, avec erreur corrélée et audit si applicable.</x:v>
      </x:c>
      <x:c r="I190" s="42" t="str">
        <x:v>Haute</x:v>
      </x:c>
      <x:c r="J190" s="42" t="str">
        <x:v>Synthétique invalide</x:v>
      </x:c>
      <x:c r="K190" s="42" t="str">
        <x:v>À automatiser</x:v>
      </x:c>
      <x:c r="L190" s="42" t="str">
        <x:v>Non exécuté</x:v>
      </x:c>
      <x:c r="M190" s="42" t="str"/>
    </x:row>
    <x:row r="191">
      <x:c r="A191" s="42" t="str">
        <x:v>TC-GED-002-NOM</x:v>
      </x:c>
      <x:c r="B191" s="42" t="str">
        <x:v>GED-002</x:v>
      </x:c>
      <x:c r="C191" s="42" t="str">
        <x:v>US-GED-002</x:v>
      </x:c>
      <x:c r="D191" s="42" t="str">
        <x:v>Gestion électronique des documents</x:v>
      </x:c>
      <x:c r="E191" s="42" t="str">
        <x:v>Nominal</x:v>
      </x:c>
      <x:c r="F191" s="42" t="str">
        <x:v>Utilisateur authentifié, autorisé et données valides.</x:v>
      </x:c>
      <x:c r="G191" s="42" t="str">
        <x:v>1. Préparer les données. 2. Exécuter : Analyser les fichiers par antivirus et contrôler extensions/tailles. 3. Consulter le résultat et l’audit.</x:v>
      </x:c>
      <x:c r="H191" s="42" t="str">
        <x:v>Un fichier dangereux est bloqué et l’incident journalisé.</x:v>
      </x:c>
      <x:c r="I191" s="42" t="str">
        <x:v>Critique</x:v>
      </x:c>
      <x:c r="J191" s="42" t="str">
        <x:v>Synthétique valide</x:v>
      </x:c>
      <x:c r="K191" s="42" t="str">
        <x:v>À automatiser</x:v>
      </x:c>
      <x:c r="L191" s="42" t="str">
        <x:v>Non exécuté</x:v>
      </x:c>
      <x:c r="M191" s="42" t="str"/>
    </x:row>
    <x:row r="192">
      <x:c r="A192" s="42" t="str">
        <x:v>TC-GED-002-CTRL</x:v>
      </x:c>
      <x:c r="B192" s="42" t="str">
        <x:v>GED-002</x:v>
      </x:c>
      <x:c r="C192" s="42" t="str">
        <x:v>US-GED-002</x:v>
      </x:c>
      <x:c r="D192" s="42" t="str">
        <x:v>Gestion électronique des documents</x:v>
      </x:c>
      <x:c r="E192" s="42" t="str">
        <x:v>Contrôle négatif</x:v>
      </x:c>
      <x:c r="F192" s="42" t="str">
        <x:v>Utilisateur non autorisé ou donnée invalide.</x:v>
      </x:c>
      <x:c r="G192" s="42" t="str">
        <x:v>1. Préparer un cas invalide. 2. Tenter l’opération. 3. Vérifier refus, message et absence d’effet secondaire.</x:v>
      </x:c>
      <x:c r="H192" s="42" t="str">
        <x:v>L’opération est refusée de manière sûre, sans altération des données, avec erreur corrélée et audit si applicable.</x:v>
      </x:c>
      <x:c r="I192" s="42" t="str">
        <x:v>Haute</x:v>
      </x:c>
      <x:c r="J192" s="42" t="str">
        <x:v>Synthétique invalide</x:v>
      </x:c>
      <x:c r="K192" s="42" t="str">
        <x:v>À automatiser</x:v>
      </x:c>
      <x:c r="L192" s="42" t="str">
        <x:v>Non exécuté</x:v>
      </x:c>
      <x:c r="M192" s="42" t="str"/>
    </x:row>
    <x:row r="193">
      <x:c r="A193" s="42" t="str">
        <x:v>TC-GED-003-NOM</x:v>
      </x:c>
      <x:c r="B193" s="42" t="str">
        <x:v>GED-003</x:v>
      </x:c>
      <x:c r="C193" s="42" t="str">
        <x:v>US-GED-003</x:v>
      </x:c>
      <x:c r="D193" s="42" t="str">
        <x:v>Gestion électronique des documents</x:v>
      </x:c>
      <x:c r="E193" s="42" t="str">
        <x:v>Nominal</x:v>
      </x:c>
      <x:c r="F193" s="42" t="str">
        <x:v>Utilisateur authentifié, autorisé et données valides.</x:v>
      </x:c>
      <x:c r="G193" s="42" t="str">
        <x:v>1. Préparer les données. 2. Exécuter : Gérer expiration des pièces et alertes de renouvellement. 3. Consulter le résultat et l’audit.</x:v>
      </x:c>
      <x:c r="H193" s="42" t="str">
        <x:v>Le membre et le gestionnaire sont alertés avant échéance.</x:v>
      </x:c>
      <x:c r="I193" s="42" t="str">
        <x:v>Critique</x:v>
      </x:c>
      <x:c r="J193" s="42" t="str">
        <x:v>Synthétique valide</x:v>
      </x:c>
      <x:c r="K193" s="42" t="str">
        <x:v>À automatiser</x:v>
      </x:c>
      <x:c r="L193" s="42" t="str">
        <x:v>Non exécuté</x:v>
      </x:c>
      <x:c r="M193" s="42" t="str"/>
    </x:row>
    <x:row r="194">
      <x:c r="A194" s="42" t="str">
        <x:v>TC-GED-003-CTRL</x:v>
      </x:c>
      <x:c r="B194" s="42" t="str">
        <x:v>GED-003</x:v>
      </x:c>
      <x:c r="C194" s="42" t="str">
        <x:v>US-GED-003</x:v>
      </x:c>
      <x:c r="D194" s="42" t="str">
        <x:v>Gestion électronique des documents</x:v>
      </x:c>
      <x:c r="E194" s="42" t="str">
        <x:v>Contrôle négatif</x:v>
      </x:c>
      <x:c r="F194" s="42" t="str">
        <x:v>Utilisateur non autorisé ou donnée invalide.</x:v>
      </x:c>
      <x:c r="G194" s="42" t="str">
        <x:v>1. Préparer un cas invalide. 2. Tenter l’opération. 3. Vérifier refus, message et absence d’effet secondaire.</x:v>
      </x:c>
      <x:c r="H194" s="42" t="str">
        <x:v>L’opération est refusée de manière sûre, sans altération des données, avec erreur corrélée et audit si applicable.</x:v>
      </x:c>
      <x:c r="I194" s="42" t="str">
        <x:v>Haute</x:v>
      </x:c>
      <x:c r="J194" s="42" t="str">
        <x:v>Synthétique invalide</x:v>
      </x:c>
      <x:c r="K194" s="42" t="str">
        <x:v>À automatiser</x:v>
      </x:c>
      <x:c r="L194" s="42" t="str">
        <x:v>Non exécuté</x:v>
      </x:c>
      <x:c r="M194" s="42" t="str"/>
    </x:row>
    <x:row r="195">
      <x:c r="A195" s="42" t="str">
        <x:v>TC-GED-004-NOM</x:v>
      </x:c>
      <x:c r="B195" s="42" t="str">
        <x:v>GED-004</x:v>
      </x:c>
      <x:c r="C195" s="42" t="str">
        <x:v>US-GED-004</x:v>
      </x:c>
      <x:c r="D195" s="42" t="str">
        <x:v>Gestion électronique des documents</x:v>
      </x:c>
      <x:c r="E195" s="42" t="str">
        <x:v>Nominal</x:v>
      </x:c>
      <x:c r="F195" s="42" t="str">
        <x:v>Utilisateur authentifié, autorisé et données valides.</x:v>
      </x:c>
      <x:c r="G195" s="42" t="str">
        <x:v>1. Préparer les données. 2. Exécuter : Appliquer des durées de conservation et gel légal. 3. Consulter le résultat et l’audit.</x:v>
      </x:c>
      <x:c r="H195" s="42" t="str">
        <x:v>La suppression respecte la politique et les litiges en cours.</x:v>
      </x:c>
      <x:c r="I195" s="42" t="str">
        <x:v>Haute</x:v>
      </x:c>
      <x:c r="J195" s="42" t="str">
        <x:v>Synthétique valide</x:v>
      </x:c>
      <x:c r="K195" s="42" t="str">
        <x:v>À automatiser</x:v>
      </x:c>
      <x:c r="L195" s="42" t="str">
        <x:v>Non exécuté</x:v>
      </x:c>
      <x:c r="M195" s="42" t="str"/>
    </x:row>
    <x:row r="196">
      <x:c r="A196" s="42" t="str">
        <x:v>TC-GED-004-CTRL</x:v>
      </x:c>
      <x:c r="B196" s="42" t="str">
        <x:v>GED-004</x:v>
      </x:c>
      <x:c r="C196" s="42" t="str">
        <x:v>US-GED-004</x:v>
      </x:c>
      <x:c r="D196" s="42" t="str">
        <x:v>Gestion électronique des documents</x:v>
      </x:c>
      <x:c r="E196" s="42" t="str">
        <x:v>Contrôle négatif</x:v>
      </x:c>
      <x:c r="F196" s="42" t="str">
        <x:v>Utilisateur non autorisé ou donnée invalide.</x:v>
      </x:c>
      <x:c r="G196" s="42" t="str">
        <x:v>1. Préparer un cas invalide. 2. Tenter l’opération. 3. Vérifier refus, message et absence d’effet secondaire.</x:v>
      </x:c>
      <x:c r="H196" s="42" t="str">
        <x:v>L’opération est refusée de manière sûre, sans altération des données, avec erreur corrélée et audit si applicable.</x:v>
      </x:c>
      <x:c r="I196" s="42" t="str">
        <x:v>Haute</x:v>
      </x:c>
      <x:c r="J196" s="42" t="str">
        <x:v>Synthétique invalide</x:v>
      </x:c>
      <x:c r="K196" s="42" t="str">
        <x:v>À automatiser</x:v>
      </x:c>
      <x:c r="L196" s="42" t="str">
        <x:v>Non exécuté</x:v>
      </x:c>
      <x:c r="M196" s="42" t="str"/>
    </x:row>
    <x:row r="197">
      <x:c r="A197" s="42" t="str">
        <x:v>TC-GED-005-NOM</x:v>
      </x:c>
      <x:c r="B197" s="42" t="str">
        <x:v>GED-005</x:v>
      </x:c>
      <x:c r="C197" s="42" t="str">
        <x:v>US-GED-005</x:v>
      </x:c>
      <x:c r="D197" s="42" t="str">
        <x:v>Gestion électronique des documents</x:v>
      </x:c>
      <x:c r="E197" s="42" t="str">
        <x:v>Nominal</x:v>
      </x:c>
      <x:c r="F197" s="42" t="str">
        <x:v>Utilisateur authentifié, autorisé et données valides.</x:v>
      </x:c>
      <x:c r="G197" s="42" t="str">
        <x:v>1. Préparer les données. 2. Exécuter : Rechercher par métadonnées et contenu OCR. 3. Consulter le résultat et l’audit.</x:v>
      </x:c>
      <x:c r="H197" s="42" t="str">
        <x:v>Les scans lisibles deviennent interrogeables.</x:v>
      </x:c>
      <x:c r="I197" s="42" t="str">
        <x:v>Haute</x:v>
      </x:c>
      <x:c r="J197" s="42" t="str">
        <x:v>Synthétique valide</x:v>
      </x:c>
      <x:c r="K197" s="42" t="str">
        <x:v>À automatiser</x:v>
      </x:c>
      <x:c r="L197" s="42" t="str">
        <x:v>Non exécuté</x:v>
      </x:c>
      <x:c r="M197" s="42" t="str"/>
    </x:row>
    <x:row r="198">
      <x:c r="A198" s="42" t="str">
        <x:v>TC-GED-005-CTRL</x:v>
      </x:c>
      <x:c r="B198" s="42" t="str">
        <x:v>GED-005</x:v>
      </x:c>
      <x:c r="C198" s="42" t="str">
        <x:v>US-GED-005</x:v>
      </x:c>
      <x:c r="D198" s="42" t="str">
        <x:v>Gestion électronique des documents</x:v>
      </x:c>
      <x:c r="E198" s="42" t="str">
        <x:v>Contrôle négatif</x:v>
      </x:c>
      <x:c r="F198" s="42" t="str">
        <x:v>Utilisateur non autorisé ou donnée invalide.</x:v>
      </x:c>
      <x:c r="G198" s="42" t="str">
        <x:v>1. Préparer un cas invalide. 2. Tenter l’opération. 3. Vérifier refus, message et absence d’effet secondaire.</x:v>
      </x:c>
      <x:c r="H198" s="42" t="str">
        <x:v>L’opération est refusée de manière sûre, sans altération des données, avec erreur corrélée et audit si applicable.</x:v>
      </x:c>
      <x:c r="I198" s="42" t="str">
        <x:v>Haute</x:v>
      </x:c>
      <x:c r="J198" s="42" t="str">
        <x:v>Synthétique invalide</x:v>
      </x:c>
      <x:c r="K198" s="42" t="str">
        <x:v>À automatiser</x:v>
      </x:c>
      <x:c r="L198" s="42" t="str">
        <x:v>Non exécuté</x:v>
      </x:c>
      <x:c r="M198" s="42" t="str"/>
    </x:row>
    <x:row r="199">
      <x:c r="A199" s="42" t="str">
        <x:v>TC-GED-006-NOM</x:v>
      </x:c>
      <x:c r="B199" s="42" t="str">
        <x:v>GED-006</x:v>
      </x:c>
      <x:c r="C199" s="42" t="str">
        <x:v>US-GED-006</x:v>
      </x:c>
      <x:c r="D199" s="42" t="str">
        <x:v>Gestion électronique des documents</x:v>
      </x:c>
      <x:c r="E199" s="42" t="str">
        <x:v>Nominal</x:v>
      </x:c>
      <x:c r="F199" s="42" t="str">
        <x:v>Utilisateur authentifié, autorisé et données valides.</x:v>
      </x:c>
      <x:c r="G199" s="42" t="str">
        <x:v>1. Préparer les données. 2. Exécuter : Générer les documents depuis des modèles approuvés. 3. Consulter le résultat et l’audit.</x:v>
      </x:c>
      <x:c r="H199" s="42" t="str">
        <x:v>Les données fusionnées sont contrôlées et le modèle versionné.</x:v>
      </x:c>
      <x:c r="I199" s="42" t="str">
        <x:v>Critique</x:v>
      </x:c>
      <x:c r="J199" s="42" t="str">
        <x:v>Synthétique valide</x:v>
      </x:c>
      <x:c r="K199" s="42" t="str">
        <x:v>À automatiser</x:v>
      </x:c>
      <x:c r="L199" s="42" t="str">
        <x:v>Non exécuté</x:v>
      </x:c>
      <x:c r="M199" s="42" t="str"/>
    </x:row>
    <x:row r="200">
      <x:c r="A200" s="42" t="str">
        <x:v>TC-GED-006-CTRL</x:v>
      </x:c>
      <x:c r="B200" s="42" t="str">
        <x:v>GED-006</x:v>
      </x:c>
      <x:c r="C200" s="42" t="str">
        <x:v>US-GED-006</x:v>
      </x:c>
      <x:c r="D200" s="42" t="str">
        <x:v>Gestion électronique des documents</x:v>
      </x:c>
      <x:c r="E200" s="42" t="str">
        <x:v>Contrôle négatif</x:v>
      </x:c>
      <x:c r="F200" s="42" t="str">
        <x:v>Utilisateur non autorisé ou donnée invalide.</x:v>
      </x:c>
      <x:c r="G200" s="42" t="str">
        <x:v>1. Préparer un cas invalide. 2. Tenter l’opération. 3. Vérifier refus, message et absence d’effet secondaire.</x:v>
      </x:c>
      <x:c r="H200" s="42" t="str">
        <x:v>L’opération est refusée de manière sûre, sans altération des données, avec erreur corrélée et audit si applicable.</x:v>
      </x:c>
      <x:c r="I200" s="42" t="str">
        <x:v>Haute</x:v>
      </x:c>
      <x:c r="J200" s="42" t="str">
        <x:v>Synthétique invalide</x:v>
      </x:c>
      <x:c r="K200" s="42" t="str">
        <x:v>À automatiser</x:v>
      </x:c>
      <x:c r="L200" s="42" t="str">
        <x:v>Non exécuté</x:v>
      </x:c>
      <x:c r="M200" s="42" t="str"/>
    </x:row>
    <x:row r="201">
      <x:c r="A201" s="42" t="str">
        <x:v>TC-EVT-001-NOM</x:v>
      </x:c>
      <x:c r="B201" s="42" t="str">
        <x:v>EVT-001</x:v>
      </x:c>
      <x:c r="C201" s="42" t="str">
        <x:v>US-EVT-001</x:v>
      </x:c>
      <x:c r="D201" s="42" t="str">
        <x:v>Événements et formations</x:v>
      </x:c>
      <x:c r="E201" s="42" t="str">
        <x:v>Nominal</x:v>
      </x:c>
      <x:c r="F201" s="42" t="str">
        <x:v>Utilisateur authentifié, autorisé et données valides.</x:v>
      </x:c>
      <x:c r="G201" s="42" t="str">
        <x:v>1. Préparer les données. 2. Exécuter : Créer événements, sessions, capacités, lieux et publics cibles. 3. Consulter le résultat et l’audit.</x:v>
      </x:c>
      <x:c r="H201" s="42" t="str">
        <x:v>Les inscriptions sont limitées selon critères et capacité.</x:v>
      </x:c>
      <x:c r="I201" s="42" t="str">
        <x:v>Haute</x:v>
      </x:c>
      <x:c r="J201" s="42" t="str">
        <x:v>Synthétique valide</x:v>
      </x:c>
      <x:c r="K201" s="42" t="str">
        <x:v>À automatiser</x:v>
      </x:c>
      <x:c r="L201" s="42" t="str">
        <x:v>Non exécuté</x:v>
      </x:c>
      <x:c r="M201" s="42" t="str"/>
    </x:row>
    <x:row r="202">
      <x:c r="A202" s="42" t="str">
        <x:v>TC-EVT-001-CTRL</x:v>
      </x:c>
      <x:c r="B202" s="42" t="str">
        <x:v>EVT-001</x:v>
      </x:c>
      <x:c r="C202" s="42" t="str">
        <x:v>US-EVT-001</x:v>
      </x:c>
      <x:c r="D202" s="42" t="str">
        <x:v>Événements et formations</x:v>
      </x:c>
      <x:c r="E202" s="42" t="str">
        <x:v>Contrôle négatif</x:v>
      </x:c>
      <x:c r="F202" s="42" t="str">
        <x:v>Utilisateur non autorisé ou donnée invalide.</x:v>
      </x:c>
      <x:c r="G202" s="42" t="str">
        <x:v>1. Préparer un cas invalide. 2. Tenter l’opération. 3. Vérifier refus, message et absence d’effet secondaire.</x:v>
      </x:c>
      <x:c r="H202" s="42" t="str">
        <x:v>L’opération est refusée de manière sûre, sans altération des données, avec erreur corrélée et audit si applicable.</x:v>
      </x:c>
      <x:c r="I202" s="42" t="str">
        <x:v>Haute</x:v>
      </x:c>
      <x:c r="J202" s="42" t="str">
        <x:v>Synthétique invalide</x:v>
      </x:c>
      <x:c r="K202" s="42" t="str">
        <x:v>À automatiser</x:v>
      </x:c>
      <x:c r="L202" s="42" t="str">
        <x:v>Non exécuté</x:v>
      </x:c>
      <x:c r="M202" s="42" t="str"/>
    </x:row>
    <x:row r="203">
      <x:c r="A203" s="42" t="str">
        <x:v>TC-EVT-002-NOM</x:v>
      </x:c>
      <x:c r="B203" s="42" t="str">
        <x:v>EVT-002</x:v>
      </x:c>
      <x:c r="C203" s="42" t="str">
        <x:v>US-EVT-002</x:v>
      </x:c>
      <x:c r="D203" s="42" t="str">
        <x:v>Événements et formations</x:v>
      </x:c>
      <x:c r="E203" s="42" t="str">
        <x:v>Nominal</x:v>
      </x:c>
      <x:c r="F203" s="42" t="str">
        <x:v>Utilisateur authentifié, autorisé et données valides.</x:v>
      </x:c>
      <x:c r="G203" s="42" t="str">
        <x:v>1. Préparer les données. 2. Exécuter : Permettre l’inscription des représentants du membre. 3. Consulter le résultat et l’audit.</x:v>
      </x:c>
      <x:c r="H203" s="42" t="str">
        <x:v>Confirmation et QR individuel générés.</x:v>
      </x:c>
      <x:c r="I203" s="42" t="str">
        <x:v>Haute</x:v>
      </x:c>
      <x:c r="J203" s="42" t="str">
        <x:v>Synthétique valide</x:v>
      </x:c>
      <x:c r="K203" s="42" t="str">
        <x:v>À automatiser</x:v>
      </x:c>
      <x:c r="L203" s="42" t="str">
        <x:v>Non exécuté</x:v>
      </x:c>
      <x:c r="M203" s="42" t="str"/>
    </x:row>
    <x:row r="204">
      <x:c r="A204" s="42" t="str">
        <x:v>TC-EVT-002-CTRL</x:v>
      </x:c>
      <x:c r="B204" s="42" t="str">
        <x:v>EVT-002</x:v>
      </x:c>
      <x:c r="C204" s="42" t="str">
        <x:v>US-EVT-002</x:v>
      </x:c>
      <x:c r="D204" s="42" t="str">
        <x:v>Événements et formations</x:v>
      </x:c>
      <x:c r="E204" s="42" t="str">
        <x:v>Contrôle négatif</x:v>
      </x:c>
      <x:c r="F204" s="42" t="str">
        <x:v>Utilisateur non autorisé ou donnée invalide.</x:v>
      </x:c>
      <x:c r="G204" s="42" t="str">
        <x:v>1. Préparer un cas invalide. 2. Tenter l’opération. 3. Vérifier refus, message et absence d’effet secondaire.</x:v>
      </x:c>
      <x:c r="H204" s="42" t="str">
        <x:v>L’opération est refusée de manière sûre, sans altération des données, avec erreur corrélée et audit si applicable.</x:v>
      </x:c>
      <x:c r="I204" s="42" t="str">
        <x:v>Haute</x:v>
      </x:c>
      <x:c r="J204" s="42" t="str">
        <x:v>Synthétique invalide</x:v>
      </x:c>
      <x:c r="K204" s="42" t="str">
        <x:v>À automatiser</x:v>
      </x:c>
      <x:c r="L204" s="42" t="str">
        <x:v>Non exécuté</x:v>
      </x:c>
      <x:c r="M204" s="42" t="str"/>
    </x:row>
    <x:row r="205">
      <x:c r="A205" s="42" t="str">
        <x:v>TC-EVT-003-NOM</x:v>
      </x:c>
      <x:c r="B205" s="42" t="str">
        <x:v>EVT-003</x:v>
      </x:c>
      <x:c r="C205" s="42" t="str">
        <x:v>US-EVT-003</x:v>
      </x:c>
      <x:c r="D205" s="42" t="str">
        <x:v>Événements et formations</x:v>
      </x:c>
      <x:c r="E205" s="42" t="str">
        <x:v>Nominal</x:v>
      </x:c>
      <x:c r="F205" s="42" t="str">
        <x:v>Utilisateur authentifié, autorisé et données valides.</x:v>
      </x:c>
      <x:c r="G205" s="42" t="str">
        <x:v>1. Préparer les données. 2. Exécuter : Gérer présence, certificat et satisfaction. 3. Consulter le résultat et l’audit.</x:v>
      </x:c>
      <x:c r="H205" s="42" t="str">
        <x:v>La participation alimente l’indicateur d’engagement membre.</x:v>
      </x:c>
      <x:c r="I205" s="42" t="str">
        <x:v>Haute</x:v>
      </x:c>
      <x:c r="J205" s="42" t="str">
        <x:v>Synthétique valide</x:v>
      </x:c>
      <x:c r="K205" s="42" t="str">
        <x:v>À automatiser</x:v>
      </x:c>
      <x:c r="L205" s="42" t="str">
        <x:v>Non exécuté</x:v>
      </x:c>
      <x:c r="M205" s="42" t="str"/>
    </x:row>
    <x:row r="206">
      <x:c r="A206" s="42" t="str">
        <x:v>TC-EVT-003-CTRL</x:v>
      </x:c>
      <x:c r="B206" s="42" t="str">
        <x:v>EVT-003</x:v>
      </x:c>
      <x:c r="C206" s="42" t="str">
        <x:v>US-EVT-003</x:v>
      </x:c>
      <x:c r="D206" s="42" t="str">
        <x:v>Événements et formations</x:v>
      </x:c>
      <x:c r="E206" s="42" t="str">
        <x:v>Contrôle négatif</x:v>
      </x:c>
      <x:c r="F206" s="42" t="str">
        <x:v>Utilisateur non autorisé ou donnée invalide.</x:v>
      </x:c>
      <x:c r="G206" s="42" t="str">
        <x:v>1. Préparer un cas invalide. 2. Tenter l’opération. 3. Vérifier refus, message et absence d’effet secondaire.</x:v>
      </x:c>
      <x:c r="H206" s="42" t="str">
        <x:v>L’opération est refusée de manière sûre, sans altération des données, avec erreur corrélée et audit si applicable.</x:v>
      </x:c>
      <x:c r="I206" s="42" t="str">
        <x:v>Haute</x:v>
      </x:c>
      <x:c r="J206" s="42" t="str">
        <x:v>Synthétique invalide</x:v>
      </x:c>
      <x:c r="K206" s="42" t="str">
        <x:v>À automatiser</x:v>
      </x:c>
      <x:c r="L206" s="42" t="str">
        <x:v>Non exécuté</x:v>
      </x:c>
      <x:c r="M206" s="42" t="str"/>
    </x:row>
    <x:row r="207">
      <x:c r="A207" s="42" t="str">
        <x:v>TC-EVT-004-NOM</x:v>
      </x:c>
      <x:c r="B207" s="42" t="str">
        <x:v>EVT-004</x:v>
      </x:c>
      <x:c r="C207" s="42" t="str">
        <x:v>US-EVT-004</x:v>
      </x:c>
      <x:c r="D207" s="42" t="str">
        <x:v>Événements et formations</x:v>
      </x:c>
      <x:c r="E207" s="42" t="str">
        <x:v>Nominal</x:v>
      </x:c>
      <x:c r="F207" s="42" t="str">
        <x:v>Utilisateur authentifié, autorisé et données valides.</x:v>
      </x:c>
      <x:c r="G207" s="42" t="str">
        <x:v>1. Préparer les données. 2. Exécuter : Publier actualités et documents ciblés. 3. Consulter le résultat et l’audit.</x:v>
      </x:c>
      <x:c r="H207" s="42" t="str">
        <x:v>Le contenu peut être public, réservé ou limité à un segment.</x:v>
      </x:c>
      <x:c r="I207" s="42" t="str">
        <x:v>Haute</x:v>
      </x:c>
      <x:c r="J207" s="42" t="str">
        <x:v>Synthétique valide</x:v>
      </x:c>
      <x:c r="K207" s="42" t="str">
        <x:v>À automatiser</x:v>
      </x:c>
      <x:c r="L207" s="42" t="str">
        <x:v>Non exécuté</x:v>
      </x:c>
      <x:c r="M207" s="42" t="str"/>
    </x:row>
    <x:row r="208">
      <x:c r="A208" s="42" t="str">
        <x:v>TC-EVT-004-CTRL</x:v>
      </x:c>
      <x:c r="B208" s="42" t="str">
        <x:v>EVT-004</x:v>
      </x:c>
      <x:c r="C208" s="42" t="str">
        <x:v>US-EVT-004</x:v>
      </x:c>
      <x:c r="D208" s="42" t="str">
        <x:v>Événements et formations</x:v>
      </x:c>
      <x:c r="E208" s="42" t="str">
        <x:v>Contrôle négatif</x:v>
      </x:c>
      <x:c r="F208" s="42" t="str">
        <x:v>Utilisateur non autorisé ou donnée invalide.</x:v>
      </x:c>
      <x:c r="G208" s="42" t="str">
        <x:v>1. Préparer un cas invalide. 2. Tenter l’opération. 3. Vérifier refus, message et absence d’effet secondaire.</x:v>
      </x:c>
      <x:c r="H208" s="42" t="str">
        <x:v>L’opération est refusée de manière sûre, sans altération des données, avec erreur corrélée et audit si applicable.</x:v>
      </x:c>
      <x:c r="I208" s="42" t="str">
        <x:v>Haute</x:v>
      </x:c>
      <x:c r="J208" s="42" t="str">
        <x:v>Synthétique invalide</x:v>
      </x:c>
      <x:c r="K208" s="42" t="str">
        <x:v>À automatiser</x:v>
      </x:c>
      <x:c r="L208" s="42" t="str">
        <x:v>Non exécuté</x:v>
      </x:c>
      <x:c r="M208" s="42" t="str"/>
    </x:row>
    <x:row r="209">
      <x:c r="A209" s="42" t="str">
        <x:v>TC-BI-001-NOM</x:v>
      </x:c>
      <x:c r="B209" s="42" t="str">
        <x:v>BI-001</x:v>
      </x:c>
      <x:c r="C209" s="42" t="str">
        <x:v>US-BI-001</x:v>
      </x:c>
      <x:c r="D209" s="42" t="str">
        <x:v>Décisionnel et reporting</x:v>
      </x:c>
      <x:c r="E209" s="42" t="str">
        <x:v>Nominal</x:v>
      </x:c>
      <x:c r="F209" s="42" t="str">
        <x:v>Utilisateur authentifié, autorisé et données valides.</x:v>
      </x:c>
      <x:c r="G209" s="42" t="str">
        <x:v>1. Préparer les données. 2. Exécuter : Filtrer par période, exercice, membre, catégorie, secteur, groupement et canal. 3. Consulter le résultat et l’audit.</x:v>
      </x:c>
      <x:c r="H209" s="42" t="str">
        <x:v>Les filtres s’appliquent à tous les visuels cohérents.</x:v>
      </x:c>
      <x:c r="I209" s="42" t="str">
        <x:v>Critique</x:v>
      </x:c>
      <x:c r="J209" s="42" t="str">
        <x:v>Synthétique valide</x:v>
      </x:c>
      <x:c r="K209" s="42" t="str">
        <x:v>À automatiser</x:v>
      </x:c>
      <x:c r="L209" s="42" t="str">
        <x:v>Non exécuté</x:v>
      </x:c>
      <x:c r="M209" s="42" t="str"/>
    </x:row>
    <x:row r="210">
      <x:c r="A210" s="42" t="str">
        <x:v>TC-BI-001-CTRL</x:v>
      </x:c>
      <x:c r="B210" s="42" t="str">
        <x:v>BI-001</x:v>
      </x:c>
      <x:c r="C210" s="42" t="str">
        <x:v>US-BI-001</x:v>
      </x:c>
      <x:c r="D210" s="42" t="str">
        <x:v>Décisionnel et reporting</x:v>
      </x:c>
      <x:c r="E210" s="42" t="str">
        <x:v>Contrôle négatif</x:v>
      </x:c>
      <x:c r="F210" s="42" t="str">
        <x:v>Utilisateur non autorisé ou donnée invalide.</x:v>
      </x:c>
      <x:c r="G210" s="42" t="str">
        <x:v>1. Préparer un cas invalide. 2. Tenter l’opération. 3. Vérifier refus, message et absence d’effet secondaire.</x:v>
      </x:c>
      <x:c r="H210" s="42" t="str">
        <x:v>L’opération est refusée de manière sûre, sans altération des données, avec erreur corrélée et audit si applicable.</x:v>
      </x:c>
      <x:c r="I210" s="42" t="str">
        <x:v>Haute</x:v>
      </x:c>
      <x:c r="J210" s="42" t="str">
        <x:v>Synthétique invalide</x:v>
      </x:c>
      <x:c r="K210" s="42" t="str">
        <x:v>À automatiser</x:v>
      </x:c>
      <x:c r="L210" s="42" t="str">
        <x:v>Non exécuté</x:v>
      </x:c>
      <x:c r="M210" s="42" t="str"/>
    </x:row>
    <x:row r="211">
      <x:c r="A211" s="42" t="str">
        <x:v>TC-BI-002-NOM</x:v>
      </x:c>
      <x:c r="B211" s="42" t="str">
        <x:v>BI-002</x:v>
      </x:c>
      <x:c r="C211" s="42" t="str">
        <x:v>US-BI-002</x:v>
      </x:c>
      <x:c r="D211" s="42" t="str">
        <x:v>Décisionnel et reporting</x:v>
      </x:c>
      <x:c r="E211" s="42" t="str">
        <x:v>Nominal</x:v>
      </x:c>
      <x:c r="F211" s="42" t="str">
        <x:v>Utilisateur authentifié, autorisé et données valides.</x:v>
      </x:c>
      <x:c r="G211" s="42" t="str">
        <x:v>1. Préparer les données. 2. Exécuter : Naviguer du KPI agrégé jusqu’à la transaction autorisée. 3. Consulter le résultat et l’audit.</x:v>
      </x:c>
      <x:c r="H211" s="42" t="str">
        <x:v>Le drill-down respecte les habilitations et masque les données sensibles.</x:v>
      </x:c>
      <x:c r="I211" s="42" t="str">
        <x:v>Critique</x:v>
      </x:c>
      <x:c r="J211" s="42" t="str">
        <x:v>Synthétique valide</x:v>
      </x:c>
      <x:c r="K211" s="42" t="str">
        <x:v>À automatiser</x:v>
      </x:c>
      <x:c r="L211" s="42" t="str">
        <x:v>Non exécuté</x:v>
      </x:c>
      <x:c r="M211" s="42" t="str"/>
    </x:row>
    <x:row r="212">
      <x:c r="A212" s="42" t="str">
        <x:v>TC-BI-002-CTRL</x:v>
      </x:c>
      <x:c r="B212" s="42" t="str">
        <x:v>BI-002</x:v>
      </x:c>
      <x:c r="C212" s="42" t="str">
        <x:v>US-BI-002</x:v>
      </x:c>
      <x:c r="D212" s="42" t="str">
        <x:v>Décisionnel et reporting</x:v>
      </x:c>
      <x:c r="E212" s="42" t="str">
        <x:v>Contrôle négatif</x:v>
      </x:c>
      <x:c r="F212" s="42" t="str">
        <x:v>Utilisateur non autorisé ou donnée invalide.</x:v>
      </x:c>
      <x:c r="G212" s="42" t="str">
        <x:v>1. Préparer un cas invalide. 2. Tenter l’opération. 3. Vérifier refus, message et absence d’effet secondaire.</x:v>
      </x:c>
      <x:c r="H212" s="42" t="str">
        <x:v>L’opération est refusée de manière sûre, sans altération des données, avec erreur corrélée et audit si applicable.</x:v>
      </x:c>
      <x:c r="I212" s="42" t="str">
        <x:v>Haute</x:v>
      </x:c>
      <x:c r="J212" s="42" t="str">
        <x:v>Synthétique invalide</x:v>
      </x:c>
      <x:c r="K212" s="42" t="str">
        <x:v>À automatiser</x:v>
      </x:c>
      <x:c r="L212" s="42" t="str">
        <x:v>Non exécuté</x:v>
      </x:c>
      <x:c r="M212" s="42" t="str"/>
    </x:row>
    <x:row r="213">
      <x:c r="A213" s="42" t="str">
        <x:v>TC-BI-003-NOM</x:v>
      </x:c>
      <x:c r="B213" s="42" t="str">
        <x:v>BI-003</x:v>
      </x:c>
      <x:c r="C213" s="42" t="str">
        <x:v>US-BI-003</x:v>
      </x:c>
      <x:c r="D213" s="42" t="str">
        <x:v>Décisionnel et reporting</x:v>
      </x:c>
      <x:c r="E213" s="42" t="str">
        <x:v>Nominal</x:v>
      </x:c>
      <x:c r="F213" s="42" t="str">
        <x:v>Utilisateur authentifié, autorisé et données valides.</x:v>
      </x:c>
      <x:c r="G213" s="42" t="str">
        <x:v>1. Préparer les données. 2. Exécuter : Exporter en Excel, PDF et CSV avec horodatage. 3. Consulter le résultat et l’audit.</x:v>
      </x:c>
      <x:c r="H213" s="42" t="str">
        <x:v>L’export conserve filtres, auteur et date.</x:v>
      </x:c>
      <x:c r="I213" s="42" t="str">
        <x:v>Critique</x:v>
      </x:c>
      <x:c r="J213" s="42" t="str">
        <x:v>Synthétique valide</x:v>
      </x:c>
      <x:c r="K213" s="42" t="str">
        <x:v>À automatiser</x:v>
      </x:c>
      <x:c r="L213" s="42" t="str">
        <x:v>Non exécuté</x:v>
      </x:c>
      <x:c r="M213" s="42" t="str"/>
    </x:row>
    <x:row r="214">
      <x:c r="A214" s="42" t="str">
        <x:v>TC-BI-003-CTRL</x:v>
      </x:c>
      <x:c r="B214" s="42" t="str">
        <x:v>BI-003</x:v>
      </x:c>
      <x:c r="C214" s="42" t="str">
        <x:v>US-BI-003</x:v>
      </x:c>
      <x:c r="D214" s="42" t="str">
        <x:v>Décisionnel et reporting</x:v>
      </x:c>
      <x:c r="E214" s="42" t="str">
        <x:v>Contrôle négatif</x:v>
      </x:c>
      <x:c r="F214" s="42" t="str">
        <x:v>Utilisateur non autorisé ou donnée invalide.</x:v>
      </x:c>
      <x:c r="G214" s="42" t="str">
        <x:v>1. Préparer un cas invalide. 2. Tenter l’opération. 3. Vérifier refus, message et absence d’effet secondaire.</x:v>
      </x:c>
      <x:c r="H214" s="42" t="str">
        <x:v>L’opération est refusée de manière sûre, sans altération des données, avec erreur corrélée et audit si applicable.</x:v>
      </x:c>
      <x:c r="I214" s="42" t="str">
        <x:v>Haute</x:v>
      </x:c>
      <x:c r="J214" s="42" t="str">
        <x:v>Synthétique invalide</x:v>
      </x:c>
      <x:c r="K214" s="42" t="str">
        <x:v>À automatiser</x:v>
      </x:c>
      <x:c r="L214" s="42" t="str">
        <x:v>Non exécuté</x:v>
      </x:c>
      <x:c r="M214" s="42" t="str"/>
    </x:row>
    <x:row r="215">
      <x:c r="A215" s="42" t="str">
        <x:v>TC-BI-004-NOM</x:v>
      </x:c>
      <x:c r="B215" s="42" t="str">
        <x:v>BI-004</x:v>
      </x:c>
      <x:c r="C215" s="42" t="str">
        <x:v>US-BI-004</x:v>
      </x:c>
      <x:c r="D215" s="42" t="str">
        <x:v>Décisionnel et reporting</x:v>
      </x:c>
      <x:c r="E215" s="42" t="str">
        <x:v>Nominal</x:v>
      </x:c>
      <x:c r="F215" s="42" t="str">
        <x:v>Utilisateur authentifié, autorisé et données valides.</x:v>
      </x:c>
      <x:c r="G215" s="42" t="str">
        <x:v>1. Préparer les données. 2. Exécuter : Programmer l’envoi de rapports aux destinataires autorisés. 3. Consulter le résultat et l’audit.</x:v>
      </x:c>
      <x:c r="H215" s="42" t="str">
        <x:v>Fréquence, format, filtre et durée de validité configurables.</x:v>
      </x:c>
      <x:c r="I215" s="42" t="str">
        <x:v>Haute</x:v>
      </x:c>
      <x:c r="J215" s="42" t="str">
        <x:v>Synthétique valide</x:v>
      </x:c>
      <x:c r="K215" s="42" t="str">
        <x:v>À automatiser</x:v>
      </x:c>
      <x:c r="L215" s="42" t="str">
        <x:v>Non exécuté</x:v>
      </x:c>
      <x:c r="M215" s="42" t="str"/>
    </x:row>
    <x:row r="216">
      <x:c r="A216" s="42" t="str">
        <x:v>TC-BI-004-CTRL</x:v>
      </x:c>
      <x:c r="B216" s="42" t="str">
        <x:v>BI-004</x:v>
      </x:c>
      <x:c r="C216" s="42" t="str">
        <x:v>US-BI-004</x:v>
      </x:c>
      <x:c r="D216" s="42" t="str">
        <x:v>Décisionnel et reporting</x:v>
      </x:c>
      <x:c r="E216" s="42" t="str">
        <x:v>Contrôle négatif</x:v>
      </x:c>
      <x:c r="F216" s="42" t="str">
        <x:v>Utilisateur non autorisé ou donnée invalide.</x:v>
      </x:c>
      <x:c r="G216" s="42" t="str">
        <x:v>1. Préparer un cas invalide. 2. Tenter l’opération. 3. Vérifier refus, message et absence d’effet secondaire.</x:v>
      </x:c>
      <x:c r="H216" s="42" t="str">
        <x:v>L’opération est refusée de manière sûre, sans altération des données, avec erreur corrélée et audit si applicable.</x:v>
      </x:c>
      <x:c r="I216" s="42" t="str">
        <x:v>Haute</x:v>
      </x:c>
      <x:c r="J216" s="42" t="str">
        <x:v>Synthétique invalide</x:v>
      </x:c>
      <x:c r="K216" s="42" t="str">
        <x:v>À automatiser</x:v>
      </x:c>
      <x:c r="L216" s="42" t="str">
        <x:v>Non exécuté</x:v>
      </x:c>
      <x:c r="M216" s="42" t="str"/>
    </x:row>
    <x:row r="217">
      <x:c r="A217" s="42" t="str">
        <x:v>TC-BI-005-NOM</x:v>
      </x:c>
      <x:c r="B217" s="42" t="str">
        <x:v>BI-005</x:v>
      </x:c>
      <x:c r="C217" s="42" t="str">
        <x:v>US-BI-005</x:v>
      </x:c>
      <x:c r="D217" s="42" t="str">
        <x:v>Décisionnel et reporting</x:v>
      </x:c>
      <x:c r="E217" s="42" t="str">
        <x:v>Nominal</x:v>
      </x:c>
      <x:c r="F217" s="42" t="str">
        <x:v>Utilisateur authentifié, autorisé et données valides.</x:v>
      </x:c>
      <x:c r="G217" s="42" t="str">
        <x:v>1. Préparer les données. 2. Exécuter : Définir objectifs et seuils d’alerte. 3. Consulter le résultat et l’audit.</x:v>
      </x:c>
      <x:c r="H217" s="42" t="str">
        <x:v>Les alertes montrent écart, cause probable et lien vers détail.</x:v>
      </x:c>
      <x:c r="I217" s="42" t="str">
        <x:v>Critique</x:v>
      </x:c>
      <x:c r="J217" s="42" t="str">
        <x:v>Synthétique valide</x:v>
      </x:c>
      <x:c r="K217" s="42" t="str">
        <x:v>À automatiser</x:v>
      </x:c>
      <x:c r="L217" s="42" t="str">
        <x:v>Non exécuté</x:v>
      </x:c>
      <x:c r="M217" s="42" t="str"/>
    </x:row>
    <x:row r="218">
      <x:c r="A218" s="42" t="str">
        <x:v>TC-BI-005-CTRL</x:v>
      </x:c>
      <x:c r="B218" s="42" t="str">
        <x:v>BI-005</x:v>
      </x:c>
      <x:c r="C218" s="42" t="str">
        <x:v>US-BI-005</x:v>
      </x:c>
      <x:c r="D218" s="42" t="str">
        <x:v>Décisionnel et reporting</x:v>
      </x:c>
      <x:c r="E218" s="42" t="str">
        <x:v>Contrôle négatif</x:v>
      </x:c>
      <x:c r="F218" s="42" t="str">
        <x:v>Utilisateur non autorisé ou donnée invalide.</x:v>
      </x:c>
      <x:c r="G218" s="42" t="str">
        <x:v>1. Préparer un cas invalide. 2. Tenter l’opération. 3. Vérifier refus, message et absence d’effet secondaire.</x:v>
      </x:c>
      <x:c r="H218" s="42" t="str">
        <x:v>L’opération est refusée de manière sûre, sans altération des données, avec erreur corrélée et audit si applicable.</x:v>
      </x:c>
      <x:c r="I218" s="42" t="str">
        <x:v>Haute</x:v>
      </x:c>
      <x:c r="J218" s="42" t="str">
        <x:v>Synthétique invalide</x:v>
      </x:c>
      <x:c r="K218" s="42" t="str">
        <x:v>À automatiser</x:v>
      </x:c>
      <x:c r="L218" s="42" t="str">
        <x:v>Non exécuté</x:v>
      </x:c>
      <x:c r="M218" s="42" t="str"/>
    </x:row>
    <x:row r="219">
      <x:c r="A219" s="42" t="str">
        <x:v>TC-BI-006-NOM</x:v>
      </x:c>
      <x:c r="B219" s="42" t="str">
        <x:v>BI-006</x:v>
      </x:c>
      <x:c r="C219" s="42" t="str">
        <x:v>US-BI-006</x:v>
      </x:c>
      <x:c r="D219" s="42" t="str">
        <x:v>Décisionnel et reporting</x:v>
      </x:c>
      <x:c r="E219" s="42" t="str">
        <x:v>Nominal</x:v>
      </x:c>
      <x:c r="F219" s="42" t="str">
        <x:v>Utilisateur authentifié, autorisé et données valides.</x:v>
      </x:c>
      <x:c r="G219" s="42" t="str">
        <x:v>1. Préparer les données. 2. Exécuter : Afficher tendances, comparaisons N/N-1 et prévisions. 3. Consulter le résultat et l’audit.</x:v>
      </x:c>
      <x:c r="H219" s="42" t="str">
        <x:v>Les méthodes de prévision et marges d’incertitude sont documentées.</x:v>
      </x:c>
      <x:c r="I219" s="42" t="str">
        <x:v>Haute</x:v>
      </x:c>
      <x:c r="J219" s="42" t="str">
        <x:v>Synthétique valide</x:v>
      </x:c>
      <x:c r="K219" s="42" t="str">
        <x:v>À automatiser</x:v>
      </x:c>
      <x:c r="L219" s="42" t="str">
        <x:v>Non exécuté</x:v>
      </x:c>
      <x:c r="M219" s="42" t="str"/>
    </x:row>
    <x:row r="220">
      <x:c r="A220" s="42" t="str">
        <x:v>TC-BI-006-CTRL</x:v>
      </x:c>
      <x:c r="B220" s="42" t="str">
        <x:v>BI-006</x:v>
      </x:c>
      <x:c r="C220" s="42" t="str">
        <x:v>US-BI-006</x:v>
      </x:c>
      <x:c r="D220" s="42" t="str">
        <x:v>Décisionnel et reporting</x:v>
      </x:c>
      <x:c r="E220" s="42" t="str">
        <x:v>Contrôle négatif</x:v>
      </x:c>
      <x:c r="F220" s="42" t="str">
        <x:v>Utilisateur non autorisé ou donnée invalide.</x:v>
      </x:c>
      <x:c r="G220" s="42" t="str">
        <x:v>1. Préparer un cas invalide. 2. Tenter l’opération. 3. Vérifier refus, message et absence d’effet secondaire.</x:v>
      </x:c>
      <x:c r="H220" s="42" t="str">
        <x:v>L’opération est refusée de manière sûre, sans altération des données, avec erreur corrélée et audit si applicable.</x:v>
      </x:c>
      <x:c r="I220" s="42" t="str">
        <x:v>Haute</x:v>
      </x:c>
      <x:c r="J220" s="42" t="str">
        <x:v>Synthétique invalide</x:v>
      </x:c>
      <x:c r="K220" s="42" t="str">
        <x:v>À automatiser</x:v>
      </x:c>
      <x:c r="L220" s="42" t="str">
        <x:v>Non exécuté</x:v>
      </x:c>
      <x:c r="M220" s="42" t="str"/>
    </x:row>
    <x:row r="221">
      <x:c r="A221" s="42" t="str">
        <x:v>TC-BI-007-NOM</x:v>
      </x:c>
      <x:c r="B221" s="42" t="str">
        <x:v>BI-007</x:v>
      </x:c>
      <x:c r="C221" s="42" t="str">
        <x:v>US-BI-007</x:v>
      </x:c>
      <x:c r="D221" s="42" t="str">
        <x:v>Décisionnel et reporting</x:v>
      </x:c>
      <x:c r="E221" s="42" t="str">
        <x:v>Nominal</x:v>
      </x:c>
      <x:c r="F221" s="42" t="str">
        <x:v>Utilisateur authentifié, autorisé et données valides.</x:v>
      </x:c>
      <x:c r="G221" s="42" t="str">
        <x:v>1. Préparer les données. 2. Exécuter : Maintenir un dictionnaire des KPI. 3. Consulter le résultat et l’audit.</x:v>
      </x:c>
      <x:c r="H221" s="42" t="str">
        <x:v>Définition, formule, source, fréquence et propriétaire accessibles.</x:v>
      </x:c>
      <x:c r="I221" s="42" t="str">
        <x:v>Critique</x:v>
      </x:c>
      <x:c r="J221" s="42" t="str">
        <x:v>Synthétique valide</x:v>
      </x:c>
      <x:c r="K221" s="42" t="str">
        <x:v>À automatiser</x:v>
      </x:c>
      <x:c r="L221" s="42" t="str">
        <x:v>Non exécuté</x:v>
      </x:c>
      <x:c r="M221" s="42" t="str"/>
    </x:row>
    <x:row r="222">
      <x:c r="A222" s="42" t="str">
        <x:v>TC-BI-007-CTRL</x:v>
      </x:c>
      <x:c r="B222" s="42" t="str">
        <x:v>BI-007</x:v>
      </x:c>
      <x:c r="C222" s="42" t="str">
        <x:v>US-BI-007</x:v>
      </x:c>
      <x:c r="D222" s="42" t="str">
        <x:v>Décisionnel et reporting</x:v>
      </x:c>
      <x:c r="E222" s="42" t="str">
        <x:v>Contrôle négatif</x:v>
      </x:c>
      <x:c r="F222" s="42" t="str">
        <x:v>Utilisateur non autorisé ou donnée invalide.</x:v>
      </x:c>
      <x:c r="G222" s="42" t="str">
        <x:v>1. Préparer un cas invalide. 2. Tenter l’opération. 3. Vérifier refus, message et absence d’effet secondaire.</x:v>
      </x:c>
      <x:c r="H222" s="42" t="str">
        <x:v>L’opération est refusée de manière sûre, sans altération des données, avec erreur corrélée et audit si applicable.</x:v>
      </x:c>
      <x:c r="I222" s="42" t="str">
        <x:v>Haute</x:v>
      </x:c>
      <x:c r="J222" s="42" t="str">
        <x:v>Synthétique invalide</x:v>
      </x:c>
      <x:c r="K222" s="42" t="str">
        <x:v>À automatiser</x:v>
      </x:c>
      <x:c r="L222" s="42" t="str">
        <x:v>Non exécuté</x:v>
      </x:c>
      <x:c r="M222" s="42" t="str"/>
    </x:row>
    <x:row r="223">
      <x:c r="A223" s="42" t="str">
        <x:v>TC-BI-008-NOM</x:v>
      </x:c>
      <x:c r="B223" s="42" t="str">
        <x:v>BI-008</x:v>
      </x:c>
      <x:c r="C223" s="42" t="str">
        <x:v>US-BI-008</x:v>
      </x:c>
      <x:c r="D223" s="42" t="str">
        <x:v>Décisionnel et reporting</x:v>
      </x:c>
      <x:c r="E223" s="42" t="str">
        <x:v>Nominal</x:v>
      </x:c>
      <x:c r="F223" s="42" t="str">
        <x:v>Utilisateur authentifié, autorisé et données valides.</x:v>
      </x:c>
      <x:c r="G223" s="42" t="str">
        <x:v>1. Préparer les données. 2. Exécuter : Permettre des tableaux de bord personnalisés par rôle. 3. Consulter le résultat et l’audit.</x:v>
      </x:c>
      <x:c r="H223" s="42" t="str">
        <x:v>L’utilisateur peut enregistrer sa vue sans modifier la vue institutionnelle.</x:v>
      </x:c>
      <x:c r="I223" s="42" t="str">
        <x:v>Haute</x:v>
      </x:c>
      <x:c r="J223" s="42" t="str">
        <x:v>Synthétique valide</x:v>
      </x:c>
      <x:c r="K223" s="42" t="str">
        <x:v>À automatiser</x:v>
      </x:c>
      <x:c r="L223" s="42" t="str">
        <x:v>Non exécuté</x:v>
      </x:c>
      <x:c r="M223" s="42" t="str"/>
    </x:row>
    <x:row r="224">
      <x:c r="A224" s="42" t="str">
        <x:v>TC-BI-008-CTRL</x:v>
      </x:c>
      <x:c r="B224" s="42" t="str">
        <x:v>BI-008</x:v>
      </x:c>
      <x:c r="C224" s="42" t="str">
        <x:v>US-BI-008</x:v>
      </x:c>
      <x:c r="D224" s="42" t="str">
        <x:v>Décisionnel et reporting</x:v>
      </x:c>
      <x:c r="E224" s="42" t="str">
        <x:v>Contrôle négatif</x:v>
      </x:c>
      <x:c r="F224" s="42" t="str">
        <x:v>Utilisateur non autorisé ou donnée invalide.</x:v>
      </x:c>
      <x:c r="G224" s="42" t="str">
        <x:v>1. Préparer un cas invalide. 2. Tenter l’opération. 3. Vérifier refus, message et absence d’effet secondaire.</x:v>
      </x:c>
      <x:c r="H224" s="42" t="str">
        <x:v>L’opération est refusée de manière sûre, sans altération des données, avec erreur corrélée et audit si applicable.</x:v>
      </x:c>
      <x:c r="I224" s="42" t="str">
        <x:v>Haute</x:v>
      </x:c>
      <x:c r="J224" s="42" t="str">
        <x:v>Synthétique invalide</x:v>
      </x:c>
      <x:c r="K224" s="42" t="str">
        <x:v>À automatiser</x:v>
      </x:c>
      <x:c r="L224" s="42" t="str">
        <x:v>Non exécuté</x:v>
      </x:c>
      <x:c r="M224" s="42" t="str"/>
    </x:row>
    <x:row r="225">
      <x:c r="A225" s="42" t="str">
        <x:v>TC-SEC-001-NOM</x:v>
      </x:c>
      <x:c r="B225" s="42" t="str">
        <x:v>SEC-001</x:v>
      </x:c>
      <x:c r="C225" s="42" t="str">
        <x:v>US-SEC-001</x:v>
      </x:c>
      <x:c r="D225" s="42" t="str">
        <x:v>Sécurité et identité</x:v>
      </x:c>
      <x:c r="E225" s="42" t="str">
        <x:v>Nominal</x:v>
      </x:c>
      <x:c r="F225" s="42" t="str">
        <x:v>Utilisateur authentifié, autorisé et données valides.</x:v>
      </x:c>
      <x:c r="G225" s="42" t="str">
        <x:v>1. Préparer les données. 2. Exécuter : Imposer 2FA aux administrateurs, financiers et comptes sensibles. 3. Consulter le résultat et l’audit.</x:v>
      </x:c>
      <x:c r="H225" s="42" t="str">
        <x:v>TOTP, application d’authentification ou OTP; SMS en secours contrôlé.</x:v>
      </x:c>
      <x:c r="I225" s="42" t="str">
        <x:v>Critique</x:v>
      </x:c>
      <x:c r="J225" s="42" t="str">
        <x:v>Synthétique valide</x:v>
      </x:c>
      <x:c r="K225" s="42" t="str">
        <x:v>À automatiser</x:v>
      </x:c>
      <x:c r="L225" s="42" t="str">
        <x:v>Non exécuté</x:v>
      </x:c>
      <x:c r="M225" s="42" t="str"/>
    </x:row>
    <x:row r="226">
      <x:c r="A226" s="42" t="str">
        <x:v>TC-SEC-001-CTRL</x:v>
      </x:c>
      <x:c r="B226" s="42" t="str">
        <x:v>SEC-001</x:v>
      </x:c>
      <x:c r="C226" s="42" t="str">
        <x:v>US-SEC-001</x:v>
      </x:c>
      <x:c r="D226" s="42" t="str">
        <x:v>Sécurité et identité</x:v>
      </x:c>
      <x:c r="E226" s="42" t="str">
        <x:v>Contrôle négatif</x:v>
      </x:c>
      <x:c r="F226" s="42" t="str">
        <x:v>Utilisateur non autorisé ou donnée invalide.</x:v>
      </x:c>
      <x:c r="G226" s="42" t="str">
        <x:v>1. Préparer un cas invalide. 2. Tenter l’opération. 3. Vérifier refus, message et absence d’effet secondaire.</x:v>
      </x:c>
      <x:c r="H226" s="42" t="str">
        <x:v>L’opération est refusée de manière sûre, sans altération des données, avec erreur corrélée et audit si applicable.</x:v>
      </x:c>
      <x:c r="I226" s="42" t="str">
        <x:v>Critique</x:v>
      </x:c>
      <x:c r="J226" s="42" t="str">
        <x:v>Synthétique invalide</x:v>
      </x:c>
      <x:c r="K226" s="42" t="str">
        <x:v>À automatiser</x:v>
      </x:c>
      <x:c r="L226" s="42" t="str">
        <x:v>Non exécuté</x:v>
      </x:c>
      <x:c r="M226" s="42" t="str"/>
    </x:row>
    <x:row r="227">
      <x:c r="A227" s="42" t="str">
        <x:v>TC-SEC-001-CRIT</x:v>
      </x:c>
      <x:c r="B227" s="42" t="str">
        <x:v>SEC-001</x:v>
      </x:c>
      <x:c r="C227" s="42" t="str">
        <x:v>US-SEC-001</x:v>
      </x:c>
      <x:c r="D227" s="42" t="str">
        <x:v>Sécurité et identité</x:v>
      </x:c>
      <x:c r="E227" s="42" t="str">
        <x:v>Critique / répétition</x:v>
      </x:c>
      <x:c r="F227" s="42" t="str">
        <x:v>Même requête rejouée ou opérations concurrentes.</x:v>
      </x:c>
      <x:c r="G227" s="42" t="str">
        <x:v>1. Exécuter l’opération. 2. Rejouer avec la même clé ou en concurrence. 3. Contrôler PostgreSQL et l’audit.</x:v>
      </x:c>
      <x:c r="H227" s="42" t="str">
        <x:v>Un seul effet métier est produit ; aucune double écriture, aucun contournement de permission et aucune incohérence.</x:v>
      </x:c>
      <x:c r="I227" s="42" t="str">
        <x:v>Critique</x:v>
      </x:c>
      <x:c r="J227" s="42" t="str">
        <x:v>Synthétique concurrence</x:v>
      </x:c>
      <x:c r="K227" s="42" t="str">
        <x:v>Obligatoire</x:v>
      </x:c>
      <x:c r="L227" s="42" t="str">
        <x:v>Non exécuté</x:v>
      </x:c>
      <x:c r="M227" s="42" t="str"/>
    </x:row>
    <x:row r="228">
      <x:c r="A228" s="42" t="str">
        <x:v>TC-SEC-002-NOM</x:v>
      </x:c>
      <x:c r="B228" s="42" t="str">
        <x:v>SEC-002</x:v>
      </x:c>
      <x:c r="C228" s="42" t="str">
        <x:v>US-SEC-002</x:v>
      </x:c>
      <x:c r="D228" s="42" t="str">
        <x:v>Sécurité et identité</x:v>
      </x:c>
      <x:c r="E228" s="42" t="str">
        <x:v>Nominal</x:v>
      </x:c>
      <x:c r="F228" s="42" t="str">
        <x:v>Utilisateur authentifié, autorisé et données valides.</x:v>
      </x:c>
      <x:c r="G228" s="42" t="str">
        <x:v>1. Préparer les données. 2. Exécuter : Appliquer une authentification adaptative selon risque. 3. Consulter le résultat et l’audit.</x:v>
      </x:c>
      <x:c r="H228" s="42" t="str">
        <x:v>Nouvel appareil, pays inhabituel ou action sensible déclenche une étape supplémentaire.</x:v>
      </x:c>
      <x:c r="I228" s="42" t="str">
        <x:v>Haute</x:v>
      </x:c>
      <x:c r="J228" s="42" t="str">
        <x:v>Synthétique valide</x:v>
      </x:c>
      <x:c r="K228" s="42" t="str">
        <x:v>À automatiser</x:v>
      </x:c>
      <x:c r="L228" s="42" t="str">
        <x:v>Non exécuté</x:v>
      </x:c>
      <x:c r="M228" s="42" t="str"/>
    </x:row>
    <x:row r="229">
      <x:c r="A229" s="42" t="str">
        <x:v>TC-SEC-002-CTRL</x:v>
      </x:c>
      <x:c r="B229" s="42" t="str">
        <x:v>SEC-002</x:v>
      </x:c>
      <x:c r="C229" s="42" t="str">
        <x:v>US-SEC-002</x:v>
      </x:c>
      <x:c r="D229" s="42" t="str">
        <x:v>Sécurité et identité</x:v>
      </x:c>
      <x:c r="E229" s="42" t="str">
        <x:v>Contrôle négatif</x:v>
      </x:c>
      <x:c r="F229" s="42" t="str">
        <x:v>Utilisateur non autorisé ou donnée invalide.</x:v>
      </x:c>
      <x:c r="G229" s="42" t="str">
        <x:v>1. Préparer un cas invalide. 2. Tenter l’opération. 3. Vérifier refus, message et absence d’effet secondaire.</x:v>
      </x:c>
      <x:c r="H229" s="42" t="str">
        <x:v>L’opération est refusée de manière sûre, sans altération des données, avec erreur corrélée et audit si applicable.</x:v>
      </x:c>
      <x:c r="I229" s="42" t="str">
        <x:v>Critique</x:v>
      </x:c>
      <x:c r="J229" s="42" t="str">
        <x:v>Synthétique invalide</x:v>
      </x:c>
      <x:c r="K229" s="42" t="str">
        <x:v>À automatiser</x:v>
      </x:c>
      <x:c r="L229" s="42" t="str">
        <x:v>Non exécuté</x:v>
      </x:c>
      <x:c r="M229" s="42" t="str"/>
    </x:row>
    <x:row r="230">
      <x:c r="A230" s="42" t="str">
        <x:v>TC-SEC-002-CRIT</x:v>
      </x:c>
      <x:c r="B230" s="42" t="str">
        <x:v>SEC-002</x:v>
      </x:c>
      <x:c r="C230" s="42" t="str">
        <x:v>US-SEC-002</x:v>
      </x:c>
      <x:c r="D230" s="42" t="str">
        <x:v>Sécurité et identité</x:v>
      </x:c>
      <x:c r="E230" s="42" t="str">
        <x:v>Critique / répétition</x:v>
      </x:c>
      <x:c r="F230" s="42" t="str">
        <x:v>Même requête rejouée ou opérations concurrentes.</x:v>
      </x:c>
      <x:c r="G230" s="42" t="str">
        <x:v>1. Exécuter l’opération. 2. Rejouer avec la même clé ou en concurrence. 3. Contrôler PostgreSQL et l’audit.</x:v>
      </x:c>
      <x:c r="H230" s="42" t="str">
        <x:v>Un seul effet métier est produit ; aucune double écriture, aucun contournement de permission et aucune incohérence.</x:v>
      </x:c>
      <x:c r="I230" s="42" t="str">
        <x:v>Critique</x:v>
      </x:c>
      <x:c r="J230" s="42" t="str">
        <x:v>Synthétique concurrence</x:v>
      </x:c>
      <x:c r="K230" s="42" t="str">
        <x:v>Obligatoire</x:v>
      </x:c>
      <x:c r="L230" s="42" t="str">
        <x:v>Non exécuté</x:v>
      </x:c>
      <x:c r="M230" s="42" t="str"/>
    </x:row>
    <x:row r="231">
      <x:c r="A231" s="42" t="str">
        <x:v>TC-SEC-003-NOM</x:v>
      </x:c>
      <x:c r="B231" s="42" t="str">
        <x:v>SEC-003</x:v>
      </x:c>
      <x:c r="C231" s="42" t="str">
        <x:v>US-SEC-003</x:v>
      </x:c>
      <x:c r="D231" s="42" t="str">
        <x:v>Sécurité et identité</x:v>
      </x:c>
      <x:c r="E231" s="42" t="str">
        <x:v>Nominal</x:v>
      </x:c>
      <x:c r="F231" s="42" t="str">
        <x:v>Utilisateur authentifié, autorisé et données valides.</x:v>
      </x:c>
      <x:c r="G231" s="42" t="str">
        <x:v>1. Préparer les données. 2. Exécuter : Gérer politique de mot de passe, verrouillage et récupération sécurisée. 3. Consulter le résultat et l’audit.</x:v>
      </x:c>
      <x:c r="H231" s="42" t="str">
        <x:v>La récupération ne révèle pas l’existence d’un compte.</x:v>
      </x:c>
      <x:c r="I231" s="42" t="str">
        <x:v>Critique</x:v>
      </x:c>
      <x:c r="J231" s="42" t="str">
        <x:v>Synthétique valide</x:v>
      </x:c>
      <x:c r="K231" s="42" t="str">
        <x:v>À automatiser</x:v>
      </x:c>
      <x:c r="L231" s="42" t="str">
        <x:v>Non exécuté</x:v>
      </x:c>
      <x:c r="M231" s="42" t="str"/>
    </x:row>
    <x:row r="232">
      <x:c r="A232" s="42" t="str">
        <x:v>TC-SEC-003-CTRL</x:v>
      </x:c>
      <x:c r="B232" s="42" t="str">
        <x:v>SEC-003</x:v>
      </x:c>
      <x:c r="C232" s="42" t="str">
        <x:v>US-SEC-003</x:v>
      </x:c>
      <x:c r="D232" s="42" t="str">
        <x:v>Sécurité et identité</x:v>
      </x:c>
      <x:c r="E232" s="42" t="str">
        <x:v>Contrôle négatif</x:v>
      </x:c>
      <x:c r="F232" s="42" t="str">
        <x:v>Utilisateur non autorisé ou donnée invalide.</x:v>
      </x:c>
      <x:c r="G232" s="42" t="str">
        <x:v>1. Préparer un cas invalide. 2. Tenter l’opération. 3. Vérifier refus, message et absence d’effet secondaire.</x:v>
      </x:c>
      <x:c r="H232" s="42" t="str">
        <x:v>L’opération est refusée de manière sûre, sans altération des données, avec erreur corrélée et audit si applicable.</x:v>
      </x:c>
      <x:c r="I232" s="42" t="str">
        <x:v>Critique</x:v>
      </x:c>
      <x:c r="J232" s="42" t="str">
        <x:v>Synthétique invalide</x:v>
      </x:c>
      <x:c r="K232" s="42" t="str">
        <x:v>À automatiser</x:v>
      </x:c>
      <x:c r="L232" s="42" t="str">
        <x:v>Non exécuté</x:v>
      </x:c>
      <x:c r="M232" s="42" t="str"/>
    </x:row>
    <x:row r="233">
      <x:c r="A233" s="42" t="str">
        <x:v>TC-SEC-003-CRIT</x:v>
      </x:c>
      <x:c r="B233" s="42" t="str">
        <x:v>SEC-003</x:v>
      </x:c>
      <x:c r="C233" s="42" t="str">
        <x:v>US-SEC-003</x:v>
      </x:c>
      <x:c r="D233" s="42" t="str">
        <x:v>Sécurité et identité</x:v>
      </x:c>
      <x:c r="E233" s="42" t="str">
        <x:v>Critique / répétition</x:v>
      </x:c>
      <x:c r="F233" s="42" t="str">
        <x:v>Même requête rejouée ou opérations concurrentes.</x:v>
      </x:c>
      <x:c r="G233" s="42" t="str">
        <x:v>1. Exécuter l’opération. 2. Rejouer avec la même clé ou en concurrence. 3. Contrôler PostgreSQL et l’audit.</x:v>
      </x:c>
      <x:c r="H233" s="42" t="str">
        <x:v>Un seul effet métier est produit ; aucune double écriture, aucun contournement de permission et aucune incohérence.</x:v>
      </x:c>
      <x:c r="I233" s="42" t="str">
        <x:v>Critique</x:v>
      </x:c>
      <x:c r="J233" s="42" t="str">
        <x:v>Synthétique concurrence</x:v>
      </x:c>
      <x:c r="K233" s="42" t="str">
        <x:v>Obligatoire</x:v>
      </x:c>
      <x:c r="L233" s="42" t="str">
        <x:v>Non exécuté</x:v>
      </x:c>
      <x:c r="M233" s="42" t="str"/>
    </x:row>
    <x:row r="234">
      <x:c r="A234" s="42" t="str">
        <x:v>TC-SEC-004-NOM</x:v>
      </x:c>
      <x:c r="B234" s="42" t="str">
        <x:v>SEC-004</x:v>
      </x:c>
      <x:c r="C234" s="42" t="str">
        <x:v>US-SEC-004</x:v>
      </x:c>
      <x:c r="D234" s="42" t="str">
        <x:v>Sécurité et identité</x:v>
      </x:c>
      <x:c r="E234" s="42" t="str">
        <x:v>Nominal</x:v>
      </x:c>
      <x:c r="F234" s="42" t="str">
        <x:v>Utilisateur authentifié, autorisé et données valides.</x:v>
      </x:c>
      <x:c r="G234" s="42" t="str">
        <x:v>1. Préparer les données. 2. Exécuter : Révoquer sessions et appareils depuis le profil. 3. Consulter le résultat et l’audit.</x:v>
      </x:c>
      <x:c r="H234" s="42" t="str">
        <x:v>L’utilisateur voit les sessions actives et peut les fermer.</x:v>
      </x:c>
      <x:c r="I234" s="42" t="str">
        <x:v>Haute</x:v>
      </x:c>
      <x:c r="J234" s="42" t="str">
        <x:v>Synthétique valide</x:v>
      </x:c>
      <x:c r="K234" s="42" t="str">
        <x:v>À automatiser</x:v>
      </x:c>
      <x:c r="L234" s="42" t="str">
        <x:v>Non exécuté</x:v>
      </x:c>
      <x:c r="M234" s="42" t="str"/>
    </x:row>
    <x:row r="235">
      <x:c r="A235" s="42" t="str">
        <x:v>TC-SEC-004-CTRL</x:v>
      </x:c>
      <x:c r="B235" s="42" t="str">
        <x:v>SEC-004</x:v>
      </x:c>
      <x:c r="C235" s="42" t="str">
        <x:v>US-SEC-004</x:v>
      </x:c>
      <x:c r="D235" s="42" t="str">
        <x:v>Sécurité et identité</x:v>
      </x:c>
      <x:c r="E235" s="42" t="str">
        <x:v>Contrôle négatif</x:v>
      </x:c>
      <x:c r="F235" s="42" t="str">
        <x:v>Utilisateur non autorisé ou donnée invalide.</x:v>
      </x:c>
      <x:c r="G235" s="42" t="str">
        <x:v>1. Préparer un cas invalide. 2. Tenter l’opération. 3. Vérifier refus, message et absence d’effet secondaire.</x:v>
      </x:c>
      <x:c r="H235" s="42" t="str">
        <x:v>L’opération est refusée de manière sûre, sans altération des données, avec erreur corrélée et audit si applicable.</x:v>
      </x:c>
      <x:c r="I235" s="42" t="str">
        <x:v>Critique</x:v>
      </x:c>
      <x:c r="J235" s="42" t="str">
        <x:v>Synthétique invalide</x:v>
      </x:c>
      <x:c r="K235" s="42" t="str">
        <x:v>À automatiser</x:v>
      </x:c>
      <x:c r="L235" s="42" t="str">
        <x:v>Non exécuté</x:v>
      </x:c>
      <x:c r="M235" s="42" t="str"/>
    </x:row>
    <x:row r="236">
      <x:c r="A236" s="42" t="str">
        <x:v>TC-SEC-004-CRIT</x:v>
      </x:c>
      <x:c r="B236" s="42" t="str">
        <x:v>SEC-004</x:v>
      </x:c>
      <x:c r="C236" s="42" t="str">
        <x:v>US-SEC-004</x:v>
      </x:c>
      <x:c r="D236" s="42" t="str">
        <x:v>Sécurité et identité</x:v>
      </x:c>
      <x:c r="E236" s="42" t="str">
        <x:v>Critique / répétition</x:v>
      </x:c>
      <x:c r="F236" s="42" t="str">
        <x:v>Même requête rejouée ou opérations concurrentes.</x:v>
      </x:c>
      <x:c r="G236" s="42" t="str">
        <x:v>1. Exécuter l’opération. 2. Rejouer avec la même clé ou en concurrence. 3. Contrôler PostgreSQL et l’audit.</x:v>
      </x:c>
      <x:c r="H236" s="42" t="str">
        <x:v>Un seul effet métier est produit ; aucune double écriture, aucun contournement de permission et aucune incohérence.</x:v>
      </x:c>
      <x:c r="I236" s="42" t="str">
        <x:v>Critique</x:v>
      </x:c>
      <x:c r="J236" s="42" t="str">
        <x:v>Synthétique concurrence</x:v>
      </x:c>
      <x:c r="K236" s="42" t="str">
        <x:v>Obligatoire</x:v>
      </x:c>
      <x:c r="L236" s="42" t="str">
        <x:v>Non exécuté</x:v>
      </x:c>
      <x:c r="M236" s="42" t="str"/>
    </x:row>
    <x:row r="237">
      <x:c r="A237" s="42" t="str">
        <x:v>TC-SEC-005-NOM</x:v>
      </x:c>
      <x:c r="B237" s="42" t="str">
        <x:v>SEC-005</x:v>
      </x:c>
      <x:c r="C237" s="42" t="str">
        <x:v>US-SEC-005</x:v>
      </x:c>
      <x:c r="D237" s="42" t="str">
        <x:v>Sécurité et identité</x:v>
      </x:c>
      <x:c r="E237" s="42" t="str">
        <x:v>Nominal</x:v>
      </x:c>
      <x:c r="F237" s="42" t="str">
        <x:v>Utilisateur authentifié, autorisé et données valides.</x:v>
      </x:c>
      <x:c r="G237" s="42" t="str">
        <x:v>1. Préparer les données. 2. Exécuter : Supporter SSO/OIDC pour les agents CNPM. 3. Consulter le résultat et l’audit.</x:v>
      </x:c>
      <x:c r="H237" s="42" t="str">
        <x:v>Intégration à un fournisseur d’identité possible sans refonte.</x:v>
      </x:c>
      <x:c r="I237" s="42" t="str">
        <x:v>Haute</x:v>
      </x:c>
      <x:c r="J237" s="42" t="str">
        <x:v>Synthétique valide</x:v>
      </x:c>
      <x:c r="K237" s="42" t="str">
        <x:v>À automatiser</x:v>
      </x:c>
      <x:c r="L237" s="42" t="str">
        <x:v>Non exécuté</x:v>
      </x:c>
      <x:c r="M237" s="42" t="str"/>
    </x:row>
    <x:row r="238">
      <x:c r="A238" s="42" t="str">
        <x:v>TC-SEC-005-CTRL</x:v>
      </x:c>
      <x:c r="B238" s="42" t="str">
        <x:v>SEC-005</x:v>
      </x:c>
      <x:c r="C238" s="42" t="str">
        <x:v>US-SEC-005</x:v>
      </x:c>
      <x:c r="D238" s="42" t="str">
        <x:v>Sécurité et identité</x:v>
      </x:c>
      <x:c r="E238" s="42" t="str">
        <x:v>Contrôle négatif</x:v>
      </x:c>
      <x:c r="F238" s="42" t="str">
        <x:v>Utilisateur non autorisé ou donnée invalide.</x:v>
      </x:c>
      <x:c r="G238" s="42" t="str">
        <x:v>1. Préparer un cas invalide. 2. Tenter l’opération. 3. Vérifier refus, message et absence d’effet secondaire.</x:v>
      </x:c>
      <x:c r="H238" s="42" t="str">
        <x:v>L’opération est refusée de manière sûre, sans altération des données, avec erreur corrélée et audit si applicable.</x:v>
      </x:c>
      <x:c r="I238" s="42" t="str">
        <x:v>Critique</x:v>
      </x:c>
      <x:c r="J238" s="42" t="str">
        <x:v>Synthétique invalide</x:v>
      </x:c>
      <x:c r="K238" s="42" t="str">
        <x:v>À automatiser</x:v>
      </x:c>
      <x:c r="L238" s="42" t="str">
        <x:v>Non exécuté</x:v>
      </x:c>
      <x:c r="M238" s="42" t="str"/>
    </x:row>
    <x:row r="239">
      <x:c r="A239" s="42" t="str">
        <x:v>TC-SEC-005-CRIT</x:v>
      </x:c>
      <x:c r="B239" s="42" t="str">
        <x:v>SEC-005</x:v>
      </x:c>
      <x:c r="C239" s="42" t="str">
        <x:v>US-SEC-005</x:v>
      </x:c>
      <x:c r="D239" s="42" t="str">
        <x:v>Sécurité et identité</x:v>
      </x:c>
      <x:c r="E239" s="42" t="str">
        <x:v>Critique / répétition</x:v>
      </x:c>
      <x:c r="F239" s="42" t="str">
        <x:v>Même requête rejouée ou opérations concurrentes.</x:v>
      </x:c>
      <x:c r="G239" s="42" t="str">
        <x:v>1. Exécuter l’opération. 2. Rejouer avec la même clé ou en concurrence. 3. Contrôler PostgreSQL et l’audit.</x:v>
      </x:c>
      <x:c r="H239" s="42" t="str">
        <x:v>Un seul effet métier est produit ; aucune double écriture, aucun contournement de permission et aucune incohérence.</x:v>
      </x:c>
      <x:c r="I239" s="42" t="str">
        <x:v>Critique</x:v>
      </x:c>
      <x:c r="J239" s="42" t="str">
        <x:v>Synthétique concurrence</x:v>
      </x:c>
      <x:c r="K239" s="42" t="str">
        <x:v>Obligatoire</x:v>
      </x:c>
      <x:c r="L239" s="42" t="str">
        <x:v>Non exécuté</x:v>
      </x:c>
      <x:c r="M239" s="42" t="str"/>
    </x:row>
    <x:row r="240">
      <x:c r="A240" s="42" t="str">
        <x:v>TC-AUD-001-NOM</x:v>
      </x:c>
      <x:c r="B240" s="42" t="str">
        <x:v>AUD-001</x:v>
      </x:c>
      <x:c r="C240" s="42" t="str">
        <x:v>US-AUD-001</x:v>
      </x:c>
      <x:c r="D240" s="42" t="str">
        <x:v>Audit et conformité</x:v>
      </x:c>
      <x:c r="E240" s="42" t="str">
        <x:v>Nominal</x:v>
      </x:c>
      <x:c r="F240" s="42" t="str">
        <x:v>Utilisateur authentifié, autorisé et données valides.</x:v>
      </x:c>
      <x:c r="G240" s="42" t="str">
        <x:v>1. Préparer les données. 2. Exécuter : Journaliser connexions, consultations sensibles, créations, modifications, validations et exports. 3. Consulter le résultat et l’audit.</x:v>
      </x:c>
      <x:c r="H240" s="42" t="str">
        <x:v>Événement, auteur, horodatage, objet, avant/après, IP/appareil et résultat.</x:v>
      </x:c>
      <x:c r="I240" s="42" t="str">
        <x:v>Critique</x:v>
      </x:c>
      <x:c r="J240" s="42" t="str">
        <x:v>Synthétique valide</x:v>
      </x:c>
      <x:c r="K240" s="42" t="str">
        <x:v>À automatiser</x:v>
      </x:c>
      <x:c r="L240" s="42" t="str">
        <x:v>Non exécuté</x:v>
      </x:c>
      <x:c r="M240" s="42" t="str"/>
    </x:row>
    <x:row r="241">
      <x:c r="A241" s="42" t="str">
        <x:v>TC-AUD-001-CTRL</x:v>
      </x:c>
      <x:c r="B241" s="42" t="str">
        <x:v>AUD-001</x:v>
      </x:c>
      <x:c r="C241" s="42" t="str">
        <x:v>US-AUD-001</x:v>
      </x:c>
      <x:c r="D241" s="42" t="str">
        <x:v>Audit et conformité</x:v>
      </x:c>
      <x:c r="E241" s="42" t="str">
        <x:v>Contrôle négatif</x:v>
      </x:c>
      <x:c r="F241" s="42" t="str">
        <x:v>Utilisateur non autorisé ou donnée invalide.</x:v>
      </x:c>
      <x:c r="G241" s="42" t="str">
        <x:v>1. Préparer un cas invalide. 2. Tenter l’opération. 3. Vérifier refus, message et absence d’effet secondaire.</x:v>
      </x:c>
      <x:c r="H241" s="42" t="str">
        <x:v>L’opération est refusée de manière sûre, sans altération des données, avec erreur corrélée et audit si applicable.</x:v>
      </x:c>
      <x:c r="I241" s="42" t="str">
        <x:v>Critique</x:v>
      </x:c>
      <x:c r="J241" s="42" t="str">
        <x:v>Synthétique invalide</x:v>
      </x:c>
      <x:c r="K241" s="42" t="str">
        <x:v>À automatiser</x:v>
      </x:c>
      <x:c r="L241" s="42" t="str">
        <x:v>Non exécuté</x:v>
      </x:c>
      <x:c r="M241" s="42" t="str"/>
    </x:row>
    <x:row r="242">
      <x:c r="A242" s="42" t="str">
        <x:v>TC-AUD-001-CRIT</x:v>
      </x:c>
      <x:c r="B242" s="42" t="str">
        <x:v>AUD-001</x:v>
      </x:c>
      <x:c r="C242" s="42" t="str">
        <x:v>US-AUD-001</x:v>
      </x:c>
      <x:c r="D242" s="42" t="str">
        <x:v>Audit et conformité</x:v>
      </x:c>
      <x:c r="E242" s="42" t="str">
        <x:v>Critique / répétition</x:v>
      </x:c>
      <x:c r="F242" s="42" t="str">
        <x:v>Même requête rejouée ou opérations concurrentes.</x:v>
      </x:c>
      <x:c r="G242" s="42" t="str">
        <x:v>1. Exécuter l’opération. 2. Rejouer avec la même clé ou en concurrence. 3. Contrôler PostgreSQL et l’audit.</x:v>
      </x:c>
      <x:c r="H242" s="42" t="str">
        <x:v>Un seul effet métier est produit ; aucune double écriture, aucun contournement de permission et aucune incohérence.</x:v>
      </x:c>
      <x:c r="I242" s="42" t="str">
        <x:v>Critique</x:v>
      </x:c>
      <x:c r="J242" s="42" t="str">
        <x:v>Synthétique concurrence</x:v>
      </x:c>
      <x:c r="K242" s="42" t="str">
        <x:v>Obligatoire</x:v>
      </x:c>
      <x:c r="L242" s="42" t="str">
        <x:v>Non exécuté</x:v>
      </x:c>
      <x:c r="M242" s="42" t="str"/>
    </x:row>
    <x:row r="243">
      <x:c r="A243" s="42" t="str">
        <x:v>TC-AUD-002-NOM</x:v>
      </x:c>
      <x:c r="B243" s="42" t="str">
        <x:v>AUD-002</x:v>
      </x:c>
      <x:c r="C243" s="42" t="str">
        <x:v>US-AUD-002</x:v>
      </x:c>
      <x:c r="D243" s="42" t="str">
        <x:v>Audit et conformité</x:v>
      </x:c>
      <x:c r="E243" s="42" t="str">
        <x:v>Nominal</x:v>
      </x:c>
      <x:c r="F243" s="42" t="str">
        <x:v>Utilisateur authentifié, autorisé et données valides.</x:v>
      </x:c>
      <x:c r="G243" s="42" t="str">
        <x:v>1. Préparer les données. 2. Exécuter : Rendre les journaux inaltérables et consultables par l’auditeur. 3. Consulter le résultat et l’audit.</x:v>
      </x:c>
      <x:c r="H243" s="42" t="str">
        <x:v>Les utilisateurs opérationnels ne peuvent ni modifier ni supprimer.</x:v>
      </x:c>
      <x:c r="I243" s="42" t="str">
        <x:v>Critique</x:v>
      </x:c>
      <x:c r="J243" s="42" t="str">
        <x:v>Synthétique valide</x:v>
      </x:c>
      <x:c r="K243" s="42" t="str">
        <x:v>À automatiser</x:v>
      </x:c>
      <x:c r="L243" s="42" t="str">
        <x:v>Non exécuté</x:v>
      </x:c>
      <x:c r="M243" s="42" t="str"/>
    </x:row>
    <x:row r="244">
      <x:c r="A244" s="42" t="str">
        <x:v>TC-AUD-002-CTRL</x:v>
      </x:c>
      <x:c r="B244" s="42" t="str">
        <x:v>AUD-002</x:v>
      </x:c>
      <x:c r="C244" s="42" t="str">
        <x:v>US-AUD-002</x:v>
      </x:c>
      <x:c r="D244" s="42" t="str">
        <x:v>Audit et conformité</x:v>
      </x:c>
      <x:c r="E244" s="42" t="str">
        <x:v>Contrôle négatif</x:v>
      </x:c>
      <x:c r="F244" s="42" t="str">
        <x:v>Utilisateur non autorisé ou donnée invalide.</x:v>
      </x:c>
      <x:c r="G244" s="42" t="str">
        <x:v>1. Préparer un cas invalide. 2. Tenter l’opération. 3. Vérifier refus, message et absence d’effet secondaire.</x:v>
      </x:c>
      <x:c r="H244" s="42" t="str">
        <x:v>L’opération est refusée de manière sûre, sans altération des données, avec erreur corrélée et audit si applicable.</x:v>
      </x:c>
      <x:c r="I244" s="42" t="str">
        <x:v>Critique</x:v>
      </x:c>
      <x:c r="J244" s="42" t="str">
        <x:v>Synthétique invalide</x:v>
      </x:c>
      <x:c r="K244" s="42" t="str">
        <x:v>À automatiser</x:v>
      </x:c>
      <x:c r="L244" s="42" t="str">
        <x:v>Non exécuté</x:v>
      </x:c>
      <x:c r="M244" s="42" t="str"/>
    </x:row>
    <x:row r="245">
      <x:c r="A245" s="42" t="str">
        <x:v>TC-AUD-002-CRIT</x:v>
      </x:c>
      <x:c r="B245" s="42" t="str">
        <x:v>AUD-002</x:v>
      </x:c>
      <x:c r="C245" s="42" t="str">
        <x:v>US-AUD-002</x:v>
      </x:c>
      <x:c r="D245" s="42" t="str">
        <x:v>Audit et conformité</x:v>
      </x:c>
      <x:c r="E245" s="42" t="str">
        <x:v>Critique / répétition</x:v>
      </x:c>
      <x:c r="F245" s="42" t="str">
        <x:v>Même requête rejouée ou opérations concurrentes.</x:v>
      </x:c>
      <x:c r="G245" s="42" t="str">
        <x:v>1. Exécuter l’opération. 2. Rejouer avec la même clé ou en concurrence. 3. Contrôler PostgreSQL et l’audit.</x:v>
      </x:c>
      <x:c r="H245" s="42" t="str">
        <x:v>Un seul effet métier est produit ; aucune double écriture, aucun contournement de permission et aucune incohérence.</x:v>
      </x:c>
      <x:c r="I245" s="42" t="str">
        <x:v>Critique</x:v>
      </x:c>
      <x:c r="J245" s="42" t="str">
        <x:v>Synthétique concurrence</x:v>
      </x:c>
      <x:c r="K245" s="42" t="str">
        <x:v>Obligatoire</x:v>
      </x:c>
      <x:c r="L245" s="42" t="str">
        <x:v>Non exécuté</x:v>
      </x:c>
      <x:c r="M245" s="42" t="str"/>
    </x:row>
    <x:row r="246">
      <x:c r="A246" s="42" t="str">
        <x:v>TC-AUD-003-NOM</x:v>
      </x:c>
      <x:c r="B246" s="42" t="str">
        <x:v>AUD-003</x:v>
      </x:c>
      <x:c r="C246" s="42" t="str">
        <x:v>US-AUD-003</x:v>
      </x:c>
      <x:c r="D246" s="42" t="str">
        <x:v>Audit et conformité</x:v>
      </x:c>
      <x:c r="E246" s="42" t="str">
        <x:v>Nominal</x:v>
      </x:c>
      <x:c r="F246" s="42" t="str">
        <x:v>Utilisateur authentifié, autorisé et données valides.</x:v>
      </x:c>
      <x:c r="G246" s="42" t="str">
        <x:v>1. Préparer les données. 2. Exécuter : Rechercher et exporter les événements pour une période. 3. Consulter le résultat et l’audit.</x:v>
      </x:c>
      <x:c r="H246" s="42" t="str">
        <x:v>Export signé/horodaté avec filtres et motif d’accès.</x:v>
      </x:c>
      <x:c r="I246" s="42" t="str">
        <x:v>Critique</x:v>
      </x:c>
      <x:c r="J246" s="42" t="str">
        <x:v>Synthétique valide</x:v>
      </x:c>
      <x:c r="K246" s="42" t="str">
        <x:v>À automatiser</x:v>
      </x:c>
      <x:c r="L246" s="42" t="str">
        <x:v>Non exécuté</x:v>
      </x:c>
      <x:c r="M246" s="42" t="str"/>
    </x:row>
    <x:row r="247">
      <x:c r="A247" s="42" t="str">
        <x:v>TC-AUD-003-CTRL</x:v>
      </x:c>
      <x:c r="B247" s="42" t="str">
        <x:v>AUD-003</x:v>
      </x:c>
      <x:c r="C247" s="42" t="str">
        <x:v>US-AUD-003</x:v>
      </x:c>
      <x:c r="D247" s="42" t="str">
        <x:v>Audit et conformité</x:v>
      </x:c>
      <x:c r="E247" s="42" t="str">
        <x:v>Contrôle négatif</x:v>
      </x:c>
      <x:c r="F247" s="42" t="str">
        <x:v>Utilisateur non autorisé ou donnée invalide.</x:v>
      </x:c>
      <x:c r="G247" s="42" t="str">
        <x:v>1. Préparer un cas invalide. 2. Tenter l’opération. 3. Vérifier refus, message et absence d’effet secondaire.</x:v>
      </x:c>
      <x:c r="H247" s="42" t="str">
        <x:v>L’opération est refusée de manière sûre, sans altération des données, avec erreur corrélée et audit si applicable.</x:v>
      </x:c>
      <x:c r="I247" s="42" t="str">
        <x:v>Critique</x:v>
      </x:c>
      <x:c r="J247" s="42" t="str">
        <x:v>Synthétique invalide</x:v>
      </x:c>
      <x:c r="K247" s="42" t="str">
        <x:v>À automatiser</x:v>
      </x:c>
      <x:c r="L247" s="42" t="str">
        <x:v>Non exécuté</x:v>
      </x:c>
      <x:c r="M247" s="42" t="str"/>
    </x:row>
    <x:row r="248">
      <x:c r="A248" s="42" t="str">
        <x:v>TC-AUD-003-CRIT</x:v>
      </x:c>
      <x:c r="B248" s="42" t="str">
        <x:v>AUD-003</x:v>
      </x:c>
      <x:c r="C248" s="42" t="str">
        <x:v>US-AUD-003</x:v>
      </x:c>
      <x:c r="D248" s="42" t="str">
        <x:v>Audit et conformité</x:v>
      </x:c>
      <x:c r="E248" s="42" t="str">
        <x:v>Critique / répétition</x:v>
      </x:c>
      <x:c r="F248" s="42" t="str">
        <x:v>Même requête rejouée ou opérations concurrentes.</x:v>
      </x:c>
      <x:c r="G248" s="42" t="str">
        <x:v>1. Exécuter l’opération. 2. Rejouer avec la même clé ou en concurrence. 3. Contrôler PostgreSQL et l’audit.</x:v>
      </x:c>
      <x:c r="H248" s="42" t="str">
        <x:v>Un seul effet métier est produit ; aucune double écriture, aucun contournement de permission et aucune incohérence.</x:v>
      </x:c>
      <x:c r="I248" s="42" t="str">
        <x:v>Critique</x:v>
      </x:c>
      <x:c r="J248" s="42" t="str">
        <x:v>Synthétique concurrence</x:v>
      </x:c>
      <x:c r="K248" s="42" t="str">
        <x:v>Obligatoire</x:v>
      </x:c>
      <x:c r="L248" s="42" t="str">
        <x:v>Non exécuté</x:v>
      </x:c>
      <x:c r="M248" s="42" t="str"/>
    </x:row>
    <x:row r="249">
      <x:c r="A249" s="42" t="str">
        <x:v>TC-AUD-004-NOM</x:v>
      </x:c>
      <x:c r="B249" s="42" t="str">
        <x:v>AUD-004</x:v>
      </x:c>
      <x:c r="C249" s="42" t="str">
        <x:v>US-AUD-004</x:v>
      </x:c>
      <x:c r="D249" s="42" t="str">
        <x:v>Audit et conformité</x:v>
      </x:c>
      <x:c r="E249" s="42" t="str">
        <x:v>Nominal</x:v>
      </x:c>
      <x:c r="F249" s="42" t="str">
        <x:v>Utilisateur authentifié, autorisé et données valides.</x:v>
      </x:c>
      <x:c r="G249" s="42" t="str">
        <x:v>1. Préparer les données. 2. Exécuter : Déclencher alertes sur événements critiques. 3. Consulter le résultat et l’audit.</x:v>
      </x:c>
      <x:c r="H249" s="42" t="str">
        <x:v>Exemples : compte privilégié, changement bancaire, export massif, échecs répétés.</x:v>
      </x:c>
      <x:c r="I249" s="42" t="str">
        <x:v>Critique</x:v>
      </x:c>
      <x:c r="J249" s="42" t="str">
        <x:v>Synthétique valide</x:v>
      </x:c>
      <x:c r="K249" s="42" t="str">
        <x:v>À automatiser</x:v>
      </x:c>
      <x:c r="L249" s="42" t="str">
        <x:v>Non exécuté</x:v>
      </x:c>
      <x:c r="M249" s="42" t="str"/>
    </x:row>
    <x:row r="250">
      <x:c r="A250" s="42" t="str">
        <x:v>TC-AUD-004-CTRL</x:v>
      </x:c>
      <x:c r="B250" s="42" t="str">
        <x:v>AUD-004</x:v>
      </x:c>
      <x:c r="C250" s="42" t="str">
        <x:v>US-AUD-004</x:v>
      </x:c>
      <x:c r="D250" s="42" t="str">
        <x:v>Audit et conformité</x:v>
      </x:c>
      <x:c r="E250" s="42" t="str">
        <x:v>Contrôle négatif</x:v>
      </x:c>
      <x:c r="F250" s="42" t="str">
        <x:v>Utilisateur non autorisé ou donnée invalide.</x:v>
      </x:c>
      <x:c r="G250" s="42" t="str">
        <x:v>1. Préparer un cas invalide. 2. Tenter l’opération. 3. Vérifier refus, message et absence d’effet secondaire.</x:v>
      </x:c>
      <x:c r="H250" s="42" t="str">
        <x:v>L’opération est refusée de manière sûre, sans altération des données, avec erreur corrélée et audit si applicable.</x:v>
      </x:c>
      <x:c r="I250" s="42" t="str">
        <x:v>Critique</x:v>
      </x:c>
      <x:c r="J250" s="42" t="str">
        <x:v>Synthétique invalide</x:v>
      </x:c>
      <x:c r="K250" s="42" t="str">
        <x:v>À automatiser</x:v>
      </x:c>
      <x:c r="L250" s="42" t="str">
        <x:v>Non exécuté</x:v>
      </x:c>
      <x:c r="M250" s="42" t="str"/>
    </x:row>
    <x:row r="251">
      <x:c r="A251" s="42" t="str">
        <x:v>TC-AUD-004-CRIT</x:v>
      </x:c>
      <x:c r="B251" s="42" t="str">
        <x:v>AUD-004</x:v>
      </x:c>
      <x:c r="C251" s="42" t="str">
        <x:v>US-AUD-004</x:v>
      </x:c>
      <x:c r="D251" s="42" t="str">
        <x:v>Audit et conformité</x:v>
      </x:c>
      <x:c r="E251" s="42" t="str">
        <x:v>Critique / répétition</x:v>
      </x:c>
      <x:c r="F251" s="42" t="str">
        <x:v>Même requête rejouée ou opérations concurrentes.</x:v>
      </x:c>
      <x:c r="G251" s="42" t="str">
        <x:v>1. Exécuter l’opération. 2. Rejouer avec la même clé ou en concurrence. 3. Contrôler PostgreSQL et l’audit.</x:v>
      </x:c>
      <x:c r="H251" s="42" t="str">
        <x:v>Un seul effet métier est produit ; aucune double écriture, aucun contournement de permission et aucune incohérence.</x:v>
      </x:c>
      <x:c r="I251" s="42" t="str">
        <x:v>Critique</x:v>
      </x:c>
      <x:c r="J251" s="42" t="str">
        <x:v>Synthétique concurrence</x:v>
      </x:c>
      <x:c r="K251" s="42" t="str">
        <x:v>Obligatoire</x:v>
      </x:c>
      <x:c r="L251" s="42" t="str">
        <x:v>Non exécuté</x:v>
      </x:c>
      <x:c r="M251" s="42" t="str"/>
    </x:row>
    <x:row r="252">
      <x:c r="A252" s="42" t="str">
        <x:v>TC-AUD-005-NOM</x:v>
      </x:c>
      <x:c r="B252" s="42" t="str">
        <x:v>AUD-005</x:v>
      </x:c>
      <x:c r="C252" s="42" t="str">
        <x:v>US-AUD-005</x:v>
      </x:c>
      <x:c r="D252" s="42" t="str">
        <x:v>Audit et conformité</x:v>
      </x:c>
      <x:c r="E252" s="42" t="str">
        <x:v>Nominal</x:v>
      </x:c>
      <x:c r="F252" s="42" t="str">
        <x:v>Utilisateur authentifié, autorisé et données valides.</x:v>
      </x:c>
      <x:c r="G252" s="42" t="str">
        <x:v>1. Préparer les données. 2. Exécuter : Définir la durée de conservation par type de journal. 3. Consulter le résultat et l’audit.</x:v>
      </x:c>
      <x:c r="H252" s="42" t="str">
        <x:v>La politique est paramétrable et conforme aux obligations applicables.</x:v>
      </x:c>
      <x:c r="I252" s="42" t="str">
        <x:v>Haute</x:v>
      </x:c>
      <x:c r="J252" s="42" t="str">
        <x:v>Synthétique valide</x:v>
      </x:c>
      <x:c r="K252" s="42" t="str">
        <x:v>À automatiser</x:v>
      </x:c>
      <x:c r="L252" s="42" t="str">
        <x:v>Non exécuté</x:v>
      </x:c>
      <x:c r="M252" s="42" t="str"/>
    </x:row>
    <x:row r="253">
      <x:c r="A253" s="42" t="str">
        <x:v>TC-AUD-005-CTRL</x:v>
      </x:c>
      <x:c r="B253" s="42" t="str">
        <x:v>AUD-005</x:v>
      </x:c>
      <x:c r="C253" s="42" t="str">
        <x:v>US-AUD-005</x:v>
      </x:c>
      <x:c r="D253" s="42" t="str">
        <x:v>Audit et conformité</x:v>
      </x:c>
      <x:c r="E253" s="42" t="str">
        <x:v>Contrôle négatif</x:v>
      </x:c>
      <x:c r="F253" s="42" t="str">
        <x:v>Utilisateur non autorisé ou donnée invalide.</x:v>
      </x:c>
      <x:c r="G253" s="42" t="str">
        <x:v>1. Préparer un cas invalide. 2. Tenter l’opération. 3. Vérifier refus, message et absence d’effet secondaire.</x:v>
      </x:c>
      <x:c r="H253" s="42" t="str">
        <x:v>L’opération est refusée de manière sûre, sans altération des données, avec erreur corrélée et audit si applicable.</x:v>
      </x:c>
      <x:c r="I253" s="42" t="str">
        <x:v>Critique</x:v>
      </x:c>
      <x:c r="J253" s="42" t="str">
        <x:v>Synthétique invalide</x:v>
      </x:c>
      <x:c r="K253" s="42" t="str">
        <x:v>À automatiser</x:v>
      </x:c>
      <x:c r="L253" s="42" t="str">
        <x:v>Non exécuté</x:v>
      </x:c>
      <x:c r="M253" s="42" t="str"/>
    </x:row>
    <x:row r="254">
      <x:c r="A254" s="42" t="str">
        <x:v>TC-AUD-005-CRIT</x:v>
      </x:c>
      <x:c r="B254" s="42" t="str">
        <x:v>AUD-005</x:v>
      </x:c>
      <x:c r="C254" s="42" t="str">
        <x:v>US-AUD-005</x:v>
      </x:c>
      <x:c r="D254" s="42" t="str">
        <x:v>Audit et conformité</x:v>
      </x:c>
      <x:c r="E254" s="42" t="str">
        <x:v>Critique / répétition</x:v>
      </x:c>
      <x:c r="F254" s="42" t="str">
        <x:v>Même requête rejouée ou opérations concurrentes.</x:v>
      </x:c>
      <x:c r="G254" s="42" t="str">
        <x:v>1. Exécuter l’opération. 2. Rejouer avec la même clé ou en concurrence. 3. Contrôler PostgreSQL et l’audit.</x:v>
      </x:c>
      <x:c r="H254" s="42" t="str">
        <x:v>Un seul effet métier est produit ; aucune double écriture, aucun contournement de permission et aucune incohérence.</x:v>
      </x:c>
      <x:c r="I254" s="42" t="str">
        <x:v>Critique</x:v>
      </x:c>
      <x:c r="J254" s="42" t="str">
        <x:v>Synthétique concurrence</x:v>
      </x:c>
      <x:c r="K254" s="42" t="str">
        <x:v>Obligatoire</x:v>
      </x:c>
      <x:c r="L254" s="42" t="str">
        <x:v>Non exécuté</x:v>
      </x:c>
      <x:c r="M254" s="42" t="str"/>
    </x:row>
    <x:row r="255">
      <x:c r="A255" s="42" t="str">
        <x:v>TC-INT-001-NOM</x:v>
      </x:c>
      <x:c r="B255" s="42" t="str">
        <x:v>INT-001</x:v>
      </x:c>
      <x:c r="C255" s="42" t="str">
        <x:v>US-INT-001</x:v>
      </x:c>
      <x:c r="D255" s="42" t="str">
        <x:v>Intégrations et interopérabilité</x:v>
      </x:c>
      <x:c r="E255" s="42" t="str">
        <x:v>Nominal</x:v>
      </x:c>
      <x:c r="F255" s="42" t="str">
        <x:v>Utilisateur authentifié, autorisé et données valides.</x:v>
      </x:c>
      <x:c r="G255" s="42" t="str">
        <x:v>1. Préparer les données. 2. Exécuter : Prévoir un identifiant de correspondance externe par entreprise. 3. Consulter le résultat et l’audit.</x:v>
      </x:c>
      <x:c r="H255" s="42" t="str">
        <x:v>Plusieurs identifiants externes peuvent être liés sans remplacer l’ID CNPM.</x:v>
      </x:c>
      <x:c r="I255" s="42" t="str">
        <x:v>Critique</x:v>
      </x:c>
      <x:c r="J255" s="42" t="str">
        <x:v>Synthétique valide</x:v>
      </x:c>
      <x:c r="K255" s="42" t="str">
        <x:v>À automatiser</x:v>
      </x:c>
      <x:c r="L255" s="42" t="str">
        <x:v>Non exécuté</x:v>
      </x:c>
      <x:c r="M255" s="42" t="str"/>
    </x:row>
    <x:row r="256">
      <x:c r="A256" s="42" t="str">
        <x:v>TC-INT-001-CTRL</x:v>
      </x:c>
      <x:c r="B256" s="42" t="str">
        <x:v>INT-001</x:v>
      </x:c>
      <x:c r="C256" s="42" t="str">
        <x:v>US-INT-001</x:v>
      </x:c>
      <x:c r="D256" s="42" t="str">
        <x:v>Intégrations et interopérabilité</x:v>
      </x:c>
      <x:c r="E256" s="42" t="str">
        <x:v>Contrôle négatif</x:v>
      </x:c>
      <x:c r="F256" s="42" t="str">
        <x:v>Utilisateur non autorisé ou donnée invalide.</x:v>
      </x:c>
      <x:c r="G256" s="42" t="str">
        <x:v>1. Préparer un cas invalide. 2. Tenter l’opération. 3. Vérifier refus, message et absence d’effet secondaire.</x:v>
      </x:c>
      <x:c r="H256" s="42" t="str">
        <x:v>L’opération est refusée de manière sûre, sans altération des données, avec erreur corrélée et audit si applicable.</x:v>
      </x:c>
      <x:c r="I256" s="42" t="str">
        <x:v>Critique</x:v>
      </x:c>
      <x:c r="J256" s="42" t="str">
        <x:v>Synthétique invalide</x:v>
      </x:c>
      <x:c r="K256" s="42" t="str">
        <x:v>À automatiser</x:v>
      </x:c>
      <x:c r="L256" s="42" t="str">
        <x:v>Non exécuté</x:v>
      </x:c>
      <x:c r="M256" s="42" t="str"/>
    </x:row>
    <x:row r="257">
      <x:c r="A257" s="42" t="str">
        <x:v>TC-INT-001-CRIT</x:v>
      </x:c>
      <x:c r="B257" s="42" t="str">
        <x:v>INT-001</x:v>
      </x:c>
      <x:c r="C257" s="42" t="str">
        <x:v>US-INT-001</x:v>
      </x:c>
      <x:c r="D257" s="42" t="str">
        <x:v>Intégrations et interopérabilité</x:v>
      </x:c>
      <x:c r="E257" s="42" t="str">
        <x:v>Critique / répétition</x:v>
      </x:c>
      <x:c r="F257" s="42" t="str">
        <x:v>Même requête rejouée ou opérations concurrentes.</x:v>
      </x:c>
      <x:c r="G257" s="42" t="str">
        <x:v>1. Exécuter l’opération. 2. Rejouer avec la même clé ou en concurrence. 3. Contrôler PostgreSQL et l’audit.</x:v>
      </x:c>
      <x:c r="H257" s="42" t="str">
        <x:v>Un seul effet métier est produit ; aucune double écriture, aucun contournement de permission et aucune incohérence.</x:v>
      </x:c>
      <x:c r="I257" s="42" t="str">
        <x:v>Critique</x:v>
      </x:c>
      <x:c r="J257" s="42" t="str">
        <x:v>Synthétique concurrence</x:v>
      </x:c>
      <x:c r="K257" s="42" t="str">
        <x:v>Obligatoire</x:v>
      </x:c>
      <x:c r="L257" s="42" t="str">
        <x:v>Non exécuté</x:v>
      </x:c>
      <x:c r="M257" s="42" t="str"/>
    </x:row>
    <x:row r="258">
      <x:c r="A258" s="42" t="str">
        <x:v>TC-INT-002-NOM</x:v>
      </x:c>
      <x:c r="B258" s="42" t="str">
        <x:v>INT-002</x:v>
      </x:c>
      <x:c r="C258" s="42" t="str">
        <x:v>US-INT-002</x:v>
      </x:c>
      <x:c r="D258" s="42" t="str">
        <x:v>Intégrations et interopérabilité</x:v>
      </x:c>
      <x:c r="E258" s="42" t="str">
        <x:v>Nominal</x:v>
      </x:c>
      <x:c r="F258" s="42" t="str">
        <x:v>Utilisateur authentifié, autorisé et données valides.</x:v>
      </x:c>
      <x:c r="G258" s="42" t="str">
        <x:v>1. Préparer les données. 2. Exécuter : Versionner les API et contrats d’échange. 3. Consulter le résultat et l’audit.</x:v>
      </x:c>
      <x:c r="H258" s="42" t="str">
        <x:v>Une nouvelle version n’interrompt pas les consommateurs existants.</x:v>
      </x:c>
      <x:c r="I258" s="42" t="str">
        <x:v>Critique</x:v>
      </x:c>
      <x:c r="J258" s="42" t="str">
        <x:v>Synthétique valide</x:v>
      </x:c>
      <x:c r="K258" s="42" t="str">
        <x:v>À automatiser</x:v>
      </x:c>
      <x:c r="L258" s="42" t="str">
        <x:v>Non exécuté</x:v>
      </x:c>
      <x:c r="M258" s="42" t="str"/>
    </x:row>
    <x:row r="259">
      <x:c r="A259" s="42" t="str">
        <x:v>TC-INT-002-CTRL</x:v>
      </x:c>
      <x:c r="B259" s="42" t="str">
        <x:v>INT-002</x:v>
      </x:c>
      <x:c r="C259" s="42" t="str">
        <x:v>US-INT-002</x:v>
      </x:c>
      <x:c r="D259" s="42" t="str">
        <x:v>Intégrations et interopérabilité</x:v>
      </x:c>
      <x:c r="E259" s="42" t="str">
        <x:v>Contrôle négatif</x:v>
      </x:c>
      <x:c r="F259" s="42" t="str">
        <x:v>Utilisateur non autorisé ou donnée invalide.</x:v>
      </x:c>
      <x:c r="G259" s="42" t="str">
        <x:v>1. Préparer un cas invalide. 2. Tenter l’opération. 3. Vérifier refus, message et absence d’effet secondaire.</x:v>
      </x:c>
      <x:c r="H259" s="42" t="str">
        <x:v>L’opération est refusée de manière sûre, sans altération des données, avec erreur corrélée et audit si applicable.</x:v>
      </x:c>
      <x:c r="I259" s="42" t="str">
        <x:v>Critique</x:v>
      </x:c>
      <x:c r="J259" s="42" t="str">
        <x:v>Synthétique invalide</x:v>
      </x:c>
      <x:c r="K259" s="42" t="str">
        <x:v>À automatiser</x:v>
      </x:c>
      <x:c r="L259" s="42" t="str">
        <x:v>Non exécuté</x:v>
      </x:c>
      <x:c r="M259" s="42" t="str"/>
    </x:row>
    <x:row r="260">
      <x:c r="A260" s="42" t="str">
        <x:v>TC-INT-002-CRIT</x:v>
      </x:c>
      <x:c r="B260" s="42" t="str">
        <x:v>INT-002</x:v>
      </x:c>
      <x:c r="C260" s="42" t="str">
        <x:v>US-INT-002</x:v>
      </x:c>
      <x:c r="D260" s="42" t="str">
        <x:v>Intégrations et interopérabilité</x:v>
      </x:c>
      <x:c r="E260" s="42" t="str">
        <x:v>Critique / répétition</x:v>
      </x:c>
      <x:c r="F260" s="42" t="str">
        <x:v>Même requête rejouée ou opérations concurrentes.</x:v>
      </x:c>
      <x:c r="G260" s="42" t="str">
        <x:v>1. Exécuter l’opération. 2. Rejouer avec la même clé ou en concurrence. 3. Contrôler PostgreSQL et l’audit.</x:v>
      </x:c>
      <x:c r="H260" s="42" t="str">
        <x:v>Un seul effet métier est produit ; aucune double écriture, aucun contournement de permission et aucune incohérence.</x:v>
      </x:c>
      <x:c r="I260" s="42" t="str">
        <x:v>Critique</x:v>
      </x:c>
      <x:c r="J260" s="42" t="str">
        <x:v>Synthétique concurrence</x:v>
      </x:c>
      <x:c r="K260" s="42" t="str">
        <x:v>Obligatoire</x:v>
      </x:c>
      <x:c r="L260" s="42" t="str">
        <x:v>Non exécuté</x:v>
      </x:c>
      <x:c r="M260" s="42" t="str"/>
    </x:row>
    <x:row r="261">
      <x:c r="A261" s="42" t="str">
        <x:v>TC-INT-003-NOM</x:v>
      </x:c>
      <x:c r="B261" s="42" t="str">
        <x:v>INT-003</x:v>
      </x:c>
      <x:c r="C261" s="42" t="str">
        <x:v>US-INT-003</x:v>
      </x:c>
      <x:c r="D261" s="42" t="str">
        <x:v>Intégrations et interopérabilité</x:v>
      </x:c>
      <x:c r="E261" s="42" t="str">
        <x:v>Nominal</x:v>
      </x:c>
      <x:c r="F261" s="42" t="str">
        <x:v>Utilisateur authentifié, autorisé et données valides.</x:v>
      </x:c>
      <x:c r="G261" s="42" t="str">
        <x:v>1. Préparer les données. 2. Exécuter : Gérer consentement et base légale avant tout échange. 3. Consulter le résultat et l’audit.</x:v>
      </x:c>
      <x:c r="H261" s="42" t="str">
        <x:v>Chaque flux est documenté et autorisé.</x:v>
      </x:c>
      <x:c r="I261" s="42" t="str">
        <x:v>Critique</x:v>
      </x:c>
      <x:c r="J261" s="42" t="str">
        <x:v>Synthétique valide</x:v>
      </x:c>
      <x:c r="K261" s="42" t="str">
        <x:v>À automatiser</x:v>
      </x:c>
      <x:c r="L261" s="42" t="str">
        <x:v>Non exécuté</x:v>
      </x:c>
      <x:c r="M261" s="42" t="str"/>
    </x:row>
    <x:row r="262">
      <x:c r="A262" s="42" t="str">
        <x:v>TC-INT-003-CTRL</x:v>
      </x:c>
      <x:c r="B262" s="42" t="str">
        <x:v>INT-003</x:v>
      </x:c>
      <x:c r="C262" s="42" t="str">
        <x:v>US-INT-003</x:v>
      </x:c>
      <x:c r="D262" s="42" t="str">
        <x:v>Intégrations et interopérabilité</x:v>
      </x:c>
      <x:c r="E262" s="42" t="str">
        <x:v>Contrôle négatif</x:v>
      </x:c>
      <x:c r="F262" s="42" t="str">
        <x:v>Utilisateur non autorisé ou donnée invalide.</x:v>
      </x:c>
      <x:c r="G262" s="42" t="str">
        <x:v>1. Préparer un cas invalide. 2. Tenter l’opération. 3. Vérifier refus, message et absence d’effet secondaire.</x:v>
      </x:c>
      <x:c r="H262" s="42" t="str">
        <x:v>L’opération est refusée de manière sûre, sans altération des données, avec erreur corrélée et audit si applicable.</x:v>
      </x:c>
      <x:c r="I262" s="42" t="str">
        <x:v>Critique</x:v>
      </x:c>
      <x:c r="J262" s="42" t="str">
        <x:v>Synthétique invalide</x:v>
      </x:c>
      <x:c r="K262" s="42" t="str">
        <x:v>À automatiser</x:v>
      </x:c>
      <x:c r="L262" s="42" t="str">
        <x:v>Non exécuté</x:v>
      </x:c>
      <x:c r="M262" s="42" t="str"/>
    </x:row>
    <x:row r="263">
      <x:c r="A263" s="42" t="str">
        <x:v>TC-INT-003-CRIT</x:v>
      </x:c>
      <x:c r="B263" s="42" t="str">
        <x:v>INT-003</x:v>
      </x:c>
      <x:c r="C263" s="42" t="str">
        <x:v>US-INT-003</x:v>
      </x:c>
      <x:c r="D263" s="42" t="str">
        <x:v>Intégrations et interopérabilité</x:v>
      </x:c>
      <x:c r="E263" s="42" t="str">
        <x:v>Critique / répétition</x:v>
      </x:c>
      <x:c r="F263" s="42" t="str">
        <x:v>Même requête rejouée ou opérations concurrentes.</x:v>
      </x:c>
      <x:c r="G263" s="42" t="str">
        <x:v>1. Exécuter l’opération. 2. Rejouer avec la même clé ou en concurrence. 3. Contrôler PostgreSQL et l’audit.</x:v>
      </x:c>
      <x:c r="H263" s="42" t="str">
        <x:v>Un seul effet métier est produit ; aucune double écriture, aucun contournement de permission et aucune incohérence.</x:v>
      </x:c>
      <x:c r="I263" s="42" t="str">
        <x:v>Critique</x:v>
      </x:c>
      <x:c r="J263" s="42" t="str">
        <x:v>Synthétique concurrence</x:v>
      </x:c>
      <x:c r="K263" s="42" t="str">
        <x:v>Obligatoire</x:v>
      </x:c>
      <x:c r="L263" s="42" t="str">
        <x:v>Non exécuté</x:v>
      </x:c>
      <x:c r="M263" s="42" t="str"/>
    </x:row>
    <x:row r="264">
      <x:c r="A264" s="42" t="str">
        <x:v>TC-INT-004-NOM</x:v>
      </x:c>
      <x:c r="B264" s="42" t="str">
        <x:v>INT-004</x:v>
      </x:c>
      <x:c r="C264" s="42" t="str">
        <x:v>US-INT-004</x:v>
      </x:c>
      <x:c r="D264" s="42" t="str">
        <x:v>Intégrations et interopérabilité</x:v>
      </x:c>
      <x:c r="E264" s="42" t="str">
        <x:v>Nominal</x:v>
      </x:c>
      <x:c r="F264" s="42" t="str">
        <x:v>Utilisateur authentifié, autorisé et données valides.</x:v>
      </x:c>
      <x:c r="G264" s="42" t="str">
        <x:v>1. Préparer les données. 2. Exécuter : Tracer l’origine, la date et la qualité de chaque donnée importée. 3. Consulter le résultat et l’audit.</x:v>
      </x:c>
      <x:c r="H264" s="42" t="str">
        <x:v>La provenance reste visible et auditable.</x:v>
      </x:c>
      <x:c r="I264" s="42" t="str">
        <x:v>Critique</x:v>
      </x:c>
      <x:c r="J264" s="42" t="str">
        <x:v>Synthétique valide</x:v>
      </x:c>
      <x:c r="K264" s="42" t="str">
        <x:v>À automatiser</x:v>
      </x:c>
      <x:c r="L264" s="42" t="str">
        <x:v>Non exécuté</x:v>
      </x:c>
      <x:c r="M264" s="42" t="str"/>
    </x:row>
    <x:row r="265">
      <x:c r="A265" s="42" t="str">
        <x:v>TC-INT-004-CTRL</x:v>
      </x:c>
      <x:c r="B265" s="42" t="str">
        <x:v>INT-004</x:v>
      </x:c>
      <x:c r="C265" s="42" t="str">
        <x:v>US-INT-004</x:v>
      </x:c>
      <x:c r="D265" s="42" t="str">
        <x:v>Intégrations et interopérabilité</x:v>
      </x:c>
      <x:c r="E265" s="42" t="str">
        <x:v>Contrôle négatif</x:v>
      </x:c>
      <x:c r="F265" s="42" t="str">
        <x:v>Utilisateur non autorisé ou donnée invalide.</x:v>
      </x:c>
      <x:c r="G265" s="42" t="str">
        <x:v>1. Préparer un cas invalide. 2. Tenter l’opération. 3. Vérifier refus, message et absence d’effet secondaire.</x:v>
      </x:c>
      <x:c r="H265" s="42" t="str">
        <x:v>L’opération est refusée de manière sûre, sans altération des données, avec erreur corrélée et audit si applicable.</x:v>
      </x:c>
      <x:c r="I265" s="42" t="str">
        <x:v>Critique</x:v>
      </x:c>
      <x:c r="J265" s="42" t="str">
        <x:v>Synthétique invalide</x:v>
      </x:c>
      <x:c r="K265" s="42" t="str">
        <x:v>À automatiser</x:v>
      </x:c>
      <x:c r="L265" s="42" t="str">
        <x:v>Non exécuté</x:v>
      </x:c>
      <x:c r="M265" s="42" t="str"/>
    </x:row>
    <x:row r="266">
      <x:c r="A266" s="42" t="str">
        <x:v>TC-INT-004-CRIT</x:v>
      </x:c>
      <x:c r="B266" s="42" t="str">
        <x:v>INT-004</x:v>
      </x:c>
      <x:c r="C266" s="42" t="str">
        <x:v>US-INT-004</x:v>
      </x:c>
      <x:c r="D266" s="42" t="str">
        <x:v>Intégrations et interopérabilité</x:v>
      </x:c>
      <x:c r="E266" s="42" t="str">
        <x:v>Critique / répétition</x:v>
      </x:c>
      <x:c r="F266" s="42" t="str">
        <x:v>Même requête rejouée ou opérations concurrentes.</x:v>
      </x:c>
      <x:c r="G266" s="42" t="str">
        <x:v>1. Exécuter l’opération. 2. Rejouer avec la même clé ou en concurrence. 3. Contrôler PostgreSQL et l’audit.</x:v>
      </x:c>
      <x:c r="H266" s="42" t="str">
        <x:v>Un seul effet métier est produit ; aucune double écriture, aucun contournement de permission et aucune incohérence.</x:v>
      </x:c>
      <x:c r="I266" s="42" t="str">
        <x:v>Critique</x:v>
      </x:c>
      <x:c r="J266" s="42" t="str">
        <x:v>Synthétique concurrence</x:v>
      </x:c>
      <x:c r="K266" s="42" t="str">
        <x:v>Obligatoire</x:v>
      </x:c>
      <x:c r="L266" s="42" t="str">
        <x:v>Non exécuté</x:v>
      </x:c>
      <x:c r="M266" s="42" t="str"/>
    </x:row>
    <x:row r="267">
      <x:c r="A267" s="42" t="str">
        <x:v>TC-INT-005-NOM</x:v>
      </x:c>
      <x:c r="B267" s="42" t="str">
        <x:v>INT-005</x:v>
      </x:c>
      <x:c r="C267" s="42" t="str">
        <x:v>US-INT-005</x:v>
      </x:c>
      <x:c r="D267" s="42" t="str">
        <x:v>Intégrations et interopérabilité</x:v>
      </x:c>
      <x:c r="E267" s="42" t="str">
        <x:v>Nominal</x:v>
      </x:c>
      <x:c r="F267" s="42" t="str">
        <x:v>Utilisateur authentifié, autorisé et données valides.</x:v>
      </x:c>
      <x:c r="G267" s="42" t="str">
        <x:v>1. Préparer les données. 2. Exécuter : Résoudre les conflits de données selon règles de confiance. 3. Consulter le résultat et l’audit.</x:v>
      </x:c>
      <x:c r="H267" s="42" t="str">
        <x:v>Aucune donnée CNPM validée n’est écrasée silencieusement.</x:v>
      </x:c>
      <x:c r="I267" s="42" t="str">
        <x:v>Haute</x:v>
      </x:c>
      <x:c r="J267" s="42" t="str">
        <x:v>Synthétique valide</x:v>
      </x:c>
      <x:c r="K267" s="42" t="str">
        <x:v>À automatiser</x:v>
      </x:c>
      <x:c r="L267" s="42" t="str">
        <x:v>Non exécuté</x:v>
      </x:c>
      <x:c r="M267" s="42" t="str"/>
    </x:row>
    <x:row r="268">
      <x:c r="A268" s="42" t="str">
        <x:v>TC-INT-005-CTRL</x:v>
      </x:c>
      <x:c r="B268" s="42" t="str">
        <x:v>INT-005</x:v>
      </x:c>
      <x:c r="C268" s="42" t="str">
        <x:v>US-INT-005</x:v>
      </x:c>
      <x:c r="D268" s="42" t="str">
        <x:v>Intégrations et interopérabilité</x:v>
      </x:c>
      <x:c r="E268" s="42" t="str">
        <x:v>Contrôle négatif</x:v>
      </x:c>
      <x:c r="F268" s="42" t="str">
        <x:v>Utilisateur non autorisé ou donnée invalide.</x:v>
      </x:c>
      <x:c r="G268" s="42" t="str">
        <x:v>1. Préparer un cas invalide. 2. Tenter l’opération. 3. Vérifier refus, message et absence d’effet secondaire.</x:v>
      </x:c>
      <x:c r="H268" s="42" t="str">
        <x:v>L’opération est refusée de manière sûre, sans altération des données, avec erreur corrélée et audit si applicable.</x:v>
      </x:c>
      <x:c r="I268" s="42" t="str">
        <x:v>Critique</x:v>
      </x:c>
      <x:c r="J268" s="42" t="str">
        <x:v>Synthétique invalide</x:v>
      </x:c>
      <x:c r="K268" s="42" t="str">
        <x:v>À automatiser</x:v>
      </x:c>
      <x:c r="L268" s="42" t="str">
        <x:v>Non exécuté</x:v>
      </x:c>
      <x:c r="M268" s="42" t="str"/>
    </x:row>
    <x:row r="269">
      <x:c r="A269" s="42" t="str">
        <x:v>TC-INT-005-CRIT</x:v>
      </x:c>
      <x:c r="B269" s="42" t="str">
        <x:v>INT-005</x:v>
      </x:c>
      <x:c r="C269" s="42" t="str">
        <x:v>US-INT-005</x:v>
      </x:c>
      <x:c r="D269" s="42" t="str">
        <x:v>Intégrations et interopérabilité</x:v>
      </x:c>
      <x:c r="E269" s="42" t="str">
        <x:v>Critique / répétition</x:v>
      </x:c>
      <x:c r="F269" s="42" t="str">
        <x:v>Même requête rejouée ou opérations concurrentes.</x:v>
      </x:c>
      <x:c r="G269" s="42" t="str">
        <x:v>1. Exécuter l’opération. 2. Rejouer avec la même clé ou en concurrence. 3. Contrôler PostgreSQL et l’audit.</x:v>
      </x:c>
      <x:c r="H269" s="42" t="str">
        <x:v>Un seul effet métier est produit ; aucune double écriture, aucun contournement de permission et aucune incohérence.</x:v>
      </x:c>
      <x:c r="I269" s="42" t="str">
        <x:v>Critique</x:v>
      </x:c>
      <x:c r="J269" s="42" t="str">
        <x:v>Synthétique concurrence</x:v>
      </x:c>
      <x:c r="K269" s="42" t="str">
        <x:v>Obligatoire</x:v>
      </x:c>
      <x:c r="L269" s="42" t="str">
        <x:v>Non exécuté</x:v>
      </x:c>
      <x:c r="M269" s="42" t="str"/>
    </x:row>
    <x:row r="270">
      <x:c r="A270" s="42" t="str">
        <x:v>TC-INT-006-NOM</x:v>
      </x:c>
      <x:c r="B270" s="42" t="str">
        <x:v>INT-006</x:v>
      </x:c>
      <x:c r="C270" s="42" t="str">
        <x:v>US-INT-006</x:v>
      </x:c>
      <x:c r="D270" s="42" t="str">
        <x:v>Intégrations et interopérabilité</x:v>
      </x:c>
      <x:c r="E270" s="42" t="str">
        <x:v>Nominal</x:v>
      </x:c>
      <x:c r="F270" s="42" t="str">
        <x:v>Utilisateur authentifié, autorisé et données valides.</x:v>
      </x:c>
      <x:c r="G270" s="42" t="str">
        <x:v>1. Préparer les données. 2. Exécuter : Tester l’intégration dans un environnement sandbox. 3. Consulter le résultat et l’audit.</x:v>
      </x:c>
      <x:c r="H270" s="42" t="str">
        <x:v>Jeux de données fictifs, clés distinctes et journal de tests.</x:v>
      </x:c>
      <x:c r="I270" s="42" t="str">
        <x:v>Haute</x:v>
      </x:c>
      <x:c r="J270" s="42" t="str">
        <x:v>Synthétique valide</x:v>
      </x:c>
      <x:c r="K270" s="42" t="str">
        <x:v>À automatiser</x:v>
      </x:c>
      <x:c r="L270" s="42" t="str">
        <x:v>Non exécuté</x:v>
      </x:c>
      <x:c r="M270" s="42" t="str"/>
    </x:row>
    <x:row r="271">
      <x:c r="A271" s="42" t="str">
        <x:v>TC-INT-006-CTRL</x:v>
      </x:c>
      <x:c r="B271" s="42" t="str">
        <x:v>INT-006</x:v>
      </x:c>
      <x:c r="C271" s="42" t="str">
        <x:v>US-INT-006</x:v>
      </x:c>
      <x:c r="D271" s="42" t="str">
        <x:v>Intégrations et interopérabilité</x:v>
      </x:c>
      <x:c r="E271" s="42" t="str">
        <x:v>Contrôle négatif</x:v>
      </x:c>
      <x:c r="F271" s="42" t="str">
        <x:v>Utilisateur non autorisé ou donnée invalide.</x:v>
      </x:c>
      <x:c r="G271" s="42" t="str">
        <x:v>1. Préparer un cas invalide. 2. Tenter l’opération. 3. Vérifier refus, message et absence d’effet secondaire.</x:v>
      </x:c>
      <x:c r="H271" s="42" t="str">
        <x:v>L’opération est refusée de manière sûre, sans altération des données, avec erreur corrélée et audit si applicable.</x:v>
      </x:c>
      <x:c r="I271" s="42" t="str">
        <x:v>Critique</x:v>
      </x:c>
      <x:c r="J271" s="42" t="str">
        <x:v>Synthétique invalide</x:v>
      </x:c>
      <x:c r="K271" s="42" t="str">
        <x:v>À automatiser</x:v>
      </x:c>
      <x:c r="L271" s="42" t="str">
        <x:v>Non exécuté</x:v>
      </x:c>
      <x:c r="M271" s="42" t="str"/>
    </x:row>
    <x:row r="272">
      <x:c r="A272" s="42" t="str">
        <x:v>TC-INT-006-CRIT</x:v>
      </x:c>
      <x:c r="B272" s="42" t="str">
        <x:v>INT-006</x:v>
      </x:c>
      <x:c r="C272" s="42" t="str">
        <x:v>US-INT-006</x:v>
      </x:c>
      <x:c r="D272" s="42" t="str">
        <x:v>Intégrations et interopérabilité</x:v>
      </x:c>
      <x:c r="E272" s="42" t="str">
        <x:v>Critique / répétition</x:v>
      </x:c>
      <x:c r="F272" s="42" t="str">
        <x:v>Même requête rejouée ou opérations concurrentes.</x:v>
      </x:c>
      <x:c r="G272" s="42" t="str">
        <x:v>1. Exécuter l’opération. 2. Rejouer avec la même clé ou en concurrence. 3. Contrôler PostgreSQL et l’audit.</x:v>
      </x:c>
      <x:c r="H272" s="42" t="str">
        <x:v>Un seul effet métier est produit ; aucune double écriture, aucun contournement de permission et aucune incohérence.</x:v>
      </x:c>
      <x:c r="I272" s="42" t="str">
        <x:v>Critique</x:v>
      </x:c>
      <x:c r="J272" s="42" t="str">
        <x:v>Synthétique concurrence</x:v>
      </x:c>
      <x:c r="K272" s="42" t="str">
        <x:v>Obligatoire</x:v>
      </x:c>
      <x:c r="L272" s="42" t="str">
        <x:v>Non exécuté</x:v>
      </x:c>
      <x:c r="M272" s="42" t="str"/>
    </x:row>
    <x:row r="273">
      <x:c r="A273" s="42" t="str">
        <x:v>TC-DB-001-NOM</x:v>
      </x:c>
      <x:c r="B273" s="42" t="str">
        <x:v>DB-001</x:v>
      </x:c>
      <x:c r="C273" s="42" t="str">
        <x:v>US-DB-001</x:v>
      </x:c>
      <x:c r="D273" s="42" t="str">
        <x:v>PostgreSQL et données</x:v>
      </x:c>
      <x:c r="E273" s="42" t="str">
        <x:v>Nominal</x:v>
      </x:c>
      <x:c r="F273" s="42" t="str">
        <x:v>Utilisateur authentifié, autorisé et données valides.</x:v>
      </x:c>
      <x:c r="G273" s="42" t="str">
        <x:v>1. Préparer les données. 2. Exécuter : Utiliser PostgreSQL comme seul SGBD relationnel de production. 3. Consulter le résultat et l’audit.</x:v>
      </x:c>
      <x:c r="H273" s="42" t="str">
        <x:v>Les bases métier, Keycloak, Flowable et métadonnées BI utilisent PostgreSQL; H2 est limité aux tests locaux.</x:v>
      </x:c>
      <x:c r="I273" s="42" t="str">
        <x:v>Critique</x:v>
      </x:c>
      <x:c r="J273" s="42" t="str">
        <x:v>Synthétique valide</x:v>
      </x:c>
      <x:c r="K273" s="42" t="str">
        <x:v>À automatiser</x:v>
      </x:c>
      <x:c r="L273" s="42" t="str">
        <x:v>Non exécuté</x:v>
      </x:c>
      <x:c r="M273" s="42" t="str"/>
    </x:row>
    <x:row r="274">
      <x:c r="A274" s="42" t="str">
        <x:v>TC-DB-001-CTRL</x:v>
      </x:c>
      <x:c r="B274" s="42" t="str">
        <x:v>DB-001</x:v>
      </x:c>
      <x:c r="C274" s="42" t="str">
        <x:v>US-DB-001</x:v>
      </x:c>
      <x:c r="D274" s="42" t="str">
        <x:v>PostgreSQL et données</x:v>
      </x:c>
      <x:c r="E274" s="42" t="str">
        <x:v>Contrôle négatif</x:v>
      </x:c>
      <x:c r="F274" s="42" t="str">
        <x:v>Utilisateur non autorisé ou donnée invalide.</x:v>
      </x:c>
      <x:c r="G274" s="42" t="str">
        <x:v>1. Préparer un cas invalide. 2. Tenter l’opération. 3. Vérifier refus, message et absence d’effet secondaire.</x:v>
      </x:c>
      <x:c r="H274" s="42" t="str">
        <x:v>L’opération est refusée de manière sûre, sans altération des données, avec erreur corrélée et audit si applicable.</x:v>
      </x:c>
      <x:c r="I274" s="42" t="str">
        <x:v>Critique</x:v>
      </x:c>
      <x:c r="J274" s="42" t="str">
        <x:v>Synthétique invalide</x:v>
      </x:c>
      <x:c r="K274" s="42" t="str">
        <x:v>À automatiser</x:v>
      </x:c>
      <x:c r="L274" s="42" t="str">
        <x:v>Non exécuté</x:v>
      </x:c>
      <x:c r="M274" s="42" t="str"/>
    </x:row>
    <x:row r="275">
      <x:c r="A275" s="42" t="str">
        <x:v>TC-DB-001-CRIT</x:v>
      </x:c>
      <x:c r="B275" s="42" t="str">
        <x:v>DB-001</x:v>
      </x:c>
      <x:c r="C275" s="42" t="str">
        <x:v>US-DB-001</x:v>
      </x:c>
      <x:c r="D275" s="42" t="str">
        <x:v>PostgreSQL et données</x:v>
      </x:c>
      <x:c r="E275" s="42" t="str">
        <x:v>Critique / répétition</x:v>
      </x:c>
      <x:c r="F275" s="42" t="str">
        <x:v>Même requête rejouée ou opérations concurrentes.</x:v>
      </x:c>
      <x:c r="G275" s="42" t="str">
        <x:v>1. Exécuter l’opération. 2. Rejouer avec la même clé ou en concurrence. 3. Contrôler PostgreSQL et l’audit.</x:v>
      </x:c>
      <x:c r="H275" s="42" t="str">
        <x:v>Un seul effet métier est produit ; aucune double écriture, aucun contournement de permission et aucune incohérence.</x:v>
      </x:c>
      <x:c r="I275" s="42" t="str">
        <x:v>Critique</x:v>
      </x:c>
      <x:c r="J275" s="42" t="str">
        <x:v>Synthétique concurrence</x:v>
      </x:c>
      <x:c r="K275" s="42" t="str">
        <x:v>Obligatoire</x:v>
      </x:c>
      <x:c r="L275" s="42" t="str">
        <x:v>Non exécuté</x:v>
      </x:c>
      <x:c r="M275" s="42" t="str"/>
    </x:row>
    <x:row r="276">
      <x:c r="A276" s="42" t="str">
        <x:v>TC-DB-002-NOM</x:v>
      </x:c>
      <x:c r="B276" s="42" t="str">
        <x:v>DB-002</x:v>
      </x:c>
      <x:c r="C276" s="42" t="str">
        <x:v>US-DB-002</x:v>
      </x:c>
      <x:c r="D276" s="42" t="str">
        <x:v>PostgreSQL et données</x:v>
      </x:c>
      <x:c r="E276" s="42" t="str">
        <x:v>Nominal</x:v>
      </x:c>
      <x:c r="F276" s="42" t="str">
        <x:v>Utilisateur authentifié, autorisé et données valides.</x:v>
      </x:c>
      <x:c r="G276" s="42" t="str">
        <x:v>1. Préparer les données. 2. Exécuter : Maintenir PostgreSQL sur une version officiellement supportée et le dernier correctif mineur validé. 3. Consulter le résultat et l’audit.</x:v>
      </x:c>
      <x:c r="H276" s="42" t="str">
        <x:v>La matrice de versions indique date d'installation, patch, fin de support et plan de montée de version.</x:v>
      </x:c>
      <x:c r="I276" s="42" t="str">
        <x:v>Critique</x:v>
      </x:c>
      <x:c r="J276" s="42" t="str">
        <x:v>Synthétique valide</x:v>
      </x:c>
      <x:c r="K276" s="42" t="str">
        <x:v>À automatiser</x:v>
      </x:c>
      <x:c r="L276" s="42" t="str">
        <x:v>Non exécuté</x:v>
      </x:c>
      <x:c r="M276" s="42" t="str"/>
    </x:row>
    <x:row r="277">
      <x:c r="A277" s="42" t="str">
        <x:v>TC-DB-002-CTRL</x:v>
      </x:c>
      <x:c r="B277" s="42" t="str">
        <x:v>DB-002</x:v>
      </x:c>
      <x:c r="C277" s="42" t="str">
        <x:v>US-DB-002</x:v>
      </x:c>
      <x:c r="D277" s="42" t="str">
        <x:v>PostgreSQL et données</x:v>
      </x:c>
      <x:c r="E277" s="42" t="str">
        <x:v>Contrôle négatif</x:v>
      </x:c>
      <x:c r="F277" s="42" t="str">
        <x:v>Utilisateur non autorisé ou donnée invalide.</x:v>
      </x:c>
      <x:c r="G277" s="42" t="str">
        <x:v>1. Préparer un cas invalide. 2. Tenter l’opération. 3. Vérifier refus, message et absence d’effet secondaire.</x:v>
      </x:c>
      <x:c r="H277" s="42" t="str">
        <x:v>L’opération est refusée de manière sûre, sans altération des données, avec erreur corrélée et audit si applicable.</x:v>
      </x:c>
      <x:c r="I277" s="42" t="str">
        <x:v>Critique</x:v>
      </x:c>
      <x:c r="J277" s="42" t="str">
        <x:v>Synthétique invalide</x:v>
      </x:c>
      <x:c r="K277" s="42" t="str">
        <x:v>À automatiser</x:v>
      </x:c>
      <x:c r="L277" s="42" t="str">
        <x:v>Non exécuté</x:v>
      </x:c>
      <x:c r="M277" s="42" t="str"/>
    </x:row>
    <x:row r="278">
      <x:c r="A278" s="42" t="str">
        <x:v>TC-DB-002-CRIT</x:v>
      </x:c>
      <x:c r="B278" s="42" t="str">
        <x:v>DB-002</x:v>
      </x:c>
      <x:c r="C278" s="42" t="str">
        <x:v>US-DB-002</x:v>
      </x:c>
      <x:c r="D278" s="42" t="str">
        <x:v>PostgreSQL et données</x:v>
      </x:c>
      <x:c r="E278" s="42" t="str">
        <x:v>Critique / répétition</x:v>
      </x:c>
      <x:c r="F278" s="42" t="str">
        <x:v>Même requête rejouée ou opérations concurrentes.</x:v>
      </x:c>
      <x:c r="G278" s="42" t="str">
        <x:v>1. Exécuter l’opération. 2. Rejouer avec la même clé ou en concurrence. 3. Contrôler PostgreSQL et l’audit.</x:v>
      </x:c>
      <x:c r="H278" s="42" t="str">
        <x:v>Un seul effet métier est produit ; aucune double écriture, aucun contournement de permission et aucune incohérence.</x:v>
      </x:c>
      <x:c r="I278" s="42" t="str">
        <x:v>Critique</x:v>
      </x:c>
      <x:c r="J278" s="42" t="str">
        <x:v>Synthétique concurrence</x:v>
      </x:c>
      <x:c r="K278" s="42" t="str">
        <x:v>Obligatoire</x:v>
      </x:c>
      <x:c r="L278" s="42" t="str">
        <x:v>Non exécuté</x:v>
      </x:c>
      <x:c r="M278" s="42" t="str"/>
    </x:row>
    <x:row r="279">
      <x:c r="A279" s="42" t="str">
        <x:v>TC-DB-003-NOM</x:v>
      </x:c>
      <x:c r="B279" s="42" t="str">
        <x:v>DB-003</x:v>
      </x:c>
      <x:c r="C279" s="42" t="str">
        <x:v>US-DB-003</x:v>
      </x:c>
      <x:c r="D279" s="42" t="str">
        <x:v>PostgreSQL et données</x:v>
      </x:c>
      <x:c r="E279" s="42" t="str">
        <x:v>Nominal</x:v>
      </x:c>
      <x:c r="F279" s="42" t="str">
        <x:v>Utilisateur authentifié, autorisé et données valides.</x:v>
      </x:c>
      <x:c r="G279" s="42" t="str">
        <x:v>1. Préparer les données. 2. Exécuter : Séparer les domaines par schémas et propriétaires techniques distincts. 3. Consulter le résultat et l’audit.</x:v>
      </x:c>
      <x:c r="H279" s="42" t="str">
        <x:v>Exemples : member, contribution, payment, recovery, service, governance, integration, audit, reporting.</x:v>
      </x:c>
      <x:c r="I279" s="42" t="str">
        <x:v>Critique</x:v>
      </x:c>
      <x:c r="J279" s="42" t="str">
        <x:v>Synthétique valide</x:v>
      </x:c>
      <x:c r="K279" s="42" t="str">
        <x:v>À automatiser</x:v>
      </x:c>
      <x:c r="L279" s="42" t="str">
        <x:v>Non exécuté</x:v>
      </x:c>
      <x:c r="M279" s="42" t="str"/>
    </x:row>
    <x:row r="280">
      <x:c r="A280" s="42" t="str">
        <x:v>TC-DB-003-CTRL</x:v>
      </x:c>
      <x:c r="B280" s="42" t="str">
        <x:v>DB-003</x:v>
      </x:c>
      <x:c r="C280" s="42" t="str">
        <x:v>US-DB-003</x:v>
      </x:c>
      <x:c r="D280" s="42" t="str">
        <x:v>PostgreSQL et données</x:v>
      </x:c>
      <x:c r="E280" s="42" t="str">
        <x:v>Contrôle négatif</x:v>
      </x:c>
      <x:c r="F280" s="42" t="str">
        <x:v>Utilisateur non autorisé ou donnée invalide.</x:v>
      </x:c>
      <x:c r="G280" s="42" t="str">
        <x:v>1. Préparer un cas invalide. 2. Tenter l’opération. 3. Vérifier refus, message et absence d’effet secondaire.</x:v>
      </x:c>
      <x:c r="H280" s="42" t="str">
        <x:v>L’opération est refusée de manière sûre, sans altération des données, avec erreur corrélée et audit si applicable.</x:v>
      </x:c>
      <x:c r="I280" s="42" t="str">
        <x:v>Critique</x:v>
      </x:c>
      <x:c r="J280" s="42" t="str">
        <x:v>Synthétique invalide</x:v>
      </x:c>
      <x:c r="K280" s="42" t="str">
        <x:v>À automatiser</x:v>
      </x:c>
      <x:c r="L280" s="42" t="str">
        <x:v>Non exécuté</x:v>
      </x:c>
      <x:c r="M280" s="42" t="str"/>
    </x:row>
    <x:row r="281">
      <x:c r="A281" s="42" t="str">
        <x:v>TC-DB-003-CRIT</x:v>
      </x:c>
      <x:c r="B281" s="42" t="str">
        <x:v>DB-003</x:v>
      </x:c>
      <x:c r="C281" s="42" t="str">
        <x:v>US-DB-003</x:v>
      </x:c>
      <x:c r="D281" s="42" t="str">
        <x:v>PostgreSQL et données</x:v>
      </x:c>
      <x:c r="E281" s="42" t="str">
        <x:v>Critique / répétition</x:v>
      </x:c>
      <x:c r="F281" s="42" t="str">
        <x:v>Même requête rejouée ou opérations concurrentes.</x:v>
      </x:c>
      <x:c r="G281" s="42" t="str">
        <x:v>1. Exécuter l’opération. 2. Rejouer avec la même clé ou en concurrence. 3. Contrôler PostgreSQL et l’audit.</x:v>
      </x:c>
      <x:c r="H281" s="42" t="str">
        <x:v>Un seul effet métier est produit ; aucune double écriture, aucun contournement de permission et aucune incohérence.</x:v>
      </x:c>
      <x:c r="I281" s="42" t="str">
        <x:v>Critique</x:v>
      </x:c>
      <x:c r="J281" s="42" t="str">
        <x:v>Synthétique concurrence</x:v>
      </x:c>
      <x:c r="K281" s="42" t="str">
        <x:v>Obligatoire</x:v>
      </x:c>
      <x:c r="L281" s="42" t="str">
        <x:v>Non exécuté</x:v>
      </x:c>
      <x:c r="M281" s="42" t="str"/>
    </x:row>
    <x:row r="282">
      <x:c r="A282" s="42" t="str">
        <x:v>TC-DB-004-NOM</x:v>
      </x:c>
      <x:c r="B282" s="42" t="str">
        <x:v>DB-004</x:v>
      </x:c>
      <x:c r="C282" s="42" t="str">
        <x:v>US-DB-004</x:v>
      </x:c>
      <x:c r="D282" s="42" t="str">
        <x:v>PostgreSQL et données</x:v>
      </x:c>
      <x:c r="E282" s="42" t="str">
        <x:v>Nominal</x:v>
      </x:c>
      <x:c r="F282" s="42" t="str">
        <x:v>Utilisateur authentifié, autorisé et données valides.</x:v>
      </x:c>
      <x:c r="G282" s="42" t="str">
        <x:v>1. Préparer les données. 2. Exécuter : Employer des clés techniques UUID et des numéros métiers lisibles séparés. 3. Consulter le résultat et l’audit.</x:v>
      </x:c>
      <x:c r="H282" s="42" t="str">
        <x:v>Un changement de numéro métier ne modifie jamais la clé ni les relations.</x:v>
      </x:c>
      <x:c r="I282" s="42" t="str">
        <x:v>Critique</x:v>
      </x:c>
      <x:c r="J282" s="42" t="str">
        <x:v>Synthétique valide</x:v>
      </x:c>
      <x:c r="K282" s="42" t="str">
        <x:v>À automatiser</x:v>
      </x:c>
      <x:c r="L282" s="42" t="str">
        <x:v>Non exécuté</x:v>
      </x:c>
      <x:c r="M282" s="42" t="str"/>
    </x:row>
    <x:row r="283">
      <x:c r="A283" s="42" t="str">
        <x:v>TC-DB-004-CTRL</x:v>
      </x:c>
      <x:c r="B283" s="42" t="str">
        <x:v>DB-004</x:v>
      </x:c>
      <x:c r="C283" s="42" t="str">
        <x:v>US-DB-004</x:v>
      </x:c>
      <x:c r="D283" s="42" t="str">
        <x:v>PostgreSQL et données</x:v>
      </x:c>
      <x:c r="E283" s="42" t="str">
        <x:v>Contrôle négatif</x:v>
      </x:c>
      <x:c r="F283" s="42" t="str">
        <x:v>Utilisateur non autorisé ou donnée invalide.</x:v>
      </x:c>
      <x:c r="G283" s="42" t="str">
        <x:v>1. Préparer un cas invalide. 2. Tenter l’opération. 3. Vérifier refus, message et absence d’effet secondaire.</x:v>
      </x:c>
      <x:c r="H283" s="42" t="str">
        <x:v>L’opération est refusée de manière sûre, sans altération des données, avec erreur corrélée et audit si applicable.</x:v>
      </x:c>
      <x:c r="I283" s="42" t="str">
        <x:v>Critique</x:v>
      </x:c>
      <x:c r="J283" s="42" t="str">
        <x:v>Synthétique invalide</x:v>
      </x:c>
      <x:c r="K283" s="42" t="str">
        <x:v>À automatiser</x:v>
      </x:c>
      <x:c r="L283" s="42" t="str">
        <x:v>Non exécuté</x:v>
      </x:c>
      <x:c r="M283" s="42" t="str"/>
    </x:row>
    <x:row r="284">
      <x:c r="A284" s="42" t="str">
        <x:v>TC-DB-004-CRIT</x:v>
      </x:c>
      <x:c r="B284" s="42" t="str">
        <x:v>DB-004</x:v>
      </x:c>
      <x:c r="C284" s="42" t="str">
        <x:v>US-DB-004</x:v>
      </x:c>
      <x:c r="D284" s="42" t="str">
        <x:v>PostgreSQL et données</x:v>
      </x:c>
      <x:c r="E284" s="42" t="str">
        <x:v>Critique / répétition</x:v>
      </x:c>
      <x:c r="F284" s="42" t="str">
        <x:v>Même requête rejouée ou opérations concurrentes.</x:v>
      </x:c>
      <x:c r="G284" s="42" t="str">
        <x:v>1. Exécuter l’opération. 2. Rejouer avec la même clé ou en concurrence. 3. Contrôler PostgreSQL et l’audit.</x:v>
      </x:c>
      <x:c r="H284" s="42" t="str">
        <x:v>Un seul effet métier est produit ; aucune double écriture, aucun contournement de permission et aucune incohérence.</x:v>
      </x:c>
      <x:c r="I284" s="42" t="str">
        <x:v>Critique</x:v>
      </x:c>
      <x:c r="J284" s="42" t="str">
        <x:v>Synthétique concurrence</x:v>
      </x:c>
      <x:c r="K284" s="42" t="str">
        <x:v>Obligatoire</x:v>
      </x:c>
      <x:c r="L284" s="42" t="str">
        <x:v>Non exécuté</x:v>
      </x:c>
      <x:c r="M284" s="42" t="str"/>
    </x:row>
    <x:row r="285">
      <x:c r="A285" s="42" t="str">
        <x:v>TC-DB-005-NOM</x:v>
      </x:c>
      <x:c r="B285" s="42" t="str">
        <x:v>DB-005</x:v>
      </x:c>
      <x:c r="C285" s="42" t="str">
        <x:v>US-DB-005</x:v>
      </x:c>
      <x:c r="D285" s="42" t="str">
        <x:v>PostgreSQL et données</x:v>
      </x:c>
      <x:c r="E285" s="42" t="str">
        <x:v>Nominal</x:v>
      </x:c>
      <x:c r="F285" s="42" t="str">
        <x:v>Utilisateur authentifié, autorisé et données valides.</x:v>
      </x:c>
      <x:c r="G285" s="42" t="str">
        <x:v>1. Préparer les données. 2. Exécuter : Stocker les montants en NUMERIC avec code devise et règles d'arrondi explicites. 3. Consulter le résultat et l’audit.</x:v>
      </x:c>
      <x:c r="H285" s="42" t="str">
        <x:v>Aucun type flottant n'est utilisé pour une cotisation, prime, commission, frais ou solde.</x:v>
      </x:c>
      <x:c r="I285" s="42" t="str">
        <x:v>Critique</x:v>
      </x:c>
      <x:c r="J285" s="42" t="str">
        <x:v>Synthétique valide</x:v>
      </x:c>
      <x:c r="K285" s="42" t="str">
        <x:v>À automatiser</x:v>
      </x:c>
      <x:c r="L285" s="42" t="str">
        <x:v>Non exécuté</x:v>
      </x:c>
      <x:c r="M285" s="42" t="str"/>
    </x:row>
    <x:row r="286">
      <x:c r="A286" s="42" t="str">
        <x:v>TC-DB-005-CTRL</x:v>
      </x:c>
      <x:c r="B286" s="42" t="str">
        <x:v>DB-005</x:v>
      </x:c>
      <x:c r="C286" s="42" t="str">
        <x:v>US-DB-005</x:v>
      </x:c>
      <x:c r="D286" s="42" t="str">
        <x:v>PostgreSQL et données</x:v>
      </x:c>
      <x:c r="E286" s="42" t="str">
        <x:v>Contrôle négatif</x:v>
      </x:c>
      <x:c r="F286" s="42" t="str">
        <x:v>Utilisateur non autorisé ou donnée invalide.</x:v>
      </x:c>
      <x:c r="G286" s="42" t="str">
        <x:v>1. Préparer un cas invalide. 2. Tenter l’opération. 3. Vérifier refus, message et absence d’effet secondaire.</x:v>
      </x:c>
      <x:c r="H286" s="42" t="str">
        <x:v>L’opération est refusée de manière sûre, sans altération des données, avec erreur corrélée et audit si applicable.</x:v>
      </x:c>
      <x:c r="I286" s="42" t="str">
        <x:v>Critique</x:v>
      </x:c>
      <x:c r="J286" s="42" t="str">
        <x:v>Synthétique invalide</x:v>
      </x:c>
      <x:c r="K286" s="42" t="str">
        <x:v>À automatiser</x:v>
      </x:c>
      <x:c r="L286" s="42" t="str">
        <x:v>Non exécuté</x:v>
      </x:c>
      <x:c r="M286" s="42" t="str"/>
    </x:row>
    <x:row r="287">
      <x:c r="A287" s="42" t="str">
        <x:v>TC-DB-005-CRIT</x:v>
      </x:c>
      <x:c r="B287" s="42" t="str">
        <x:v>DB-005</x:v>
      </x:c>
      <x:c r="C287" s="42" t="str">
        <x:v>US-DB-005</x:v>
      </x:c>
      <x:c r="D287" s="42" t="str">
        <x:v>PostgreSQL et données</x:v>
      </x:c>
      <x:c r="E287" s="42" t="str">
        <x:v>Critique / répétition</x:v>
      </x:c>
      <x:c r="F287" s="42" t="str">
        <x:v>Même requête rejouée ou opérations concurrentes.</x:v>
      </x:c>
      <x:c r="G287" s="42" t="str">
        <x:v>1. Exécuter l’opération. 2. Rejouer avec la même clé ou en concurrence. 3. Contrôler PostgreSQL et l’audit.</x:v>
      </x:c>
      <x:c r="H287" s="42" t="str">
        <x:v>Un seul effet métier est produit ; aucune double écriture, aucun contournement de permission et aucune incohérence.</x:v>
      </x:c>
      <x:c r="I287" s="42" t="str">
        <x:v>Critique</x:v>
      </x:c>
      <x:c r="J287" s="42" t="str">
        <x:v>Synthétique concurrence</x:v>
      </x:c>
      <x:c r="K287" s="42" t="str">
        <x:v>Obligatoire</x:v>
      </x:c>
      <x:c r="L287" s="42" t="str">
        <x:v>Non exécuté</x:v>
      </x:c>
      <x:c r="M287" s="42" t="str"/>
    </x:row>
    <x:row r="288">
      <x:c r="A288" s="42" t="str">
        <x:v>TC-DB-006-NOM</x:v>
      </x:c>
      <x:c r="B288" s="42" t="str">
        <x:v>DB-006</x:v>
      </x:c>
      <x:c r="C288" s="42" t="str">
        <x:v>US-DB-006</x:v>
      </x:c>
      <x:c r="D288" s="42" t="str">
        <x:v>PostgreSQL et données</x:v>
      </x:c>
      <x:c r="E288" s="42" t="str">
        <x:v>Nominal</x:v>
      </x:c>
      <x:c r="F288" s="42" t="str">
        <x:v>Utilisateur authentifié, autorisé et données valides.</x:v>
      </x:c>
      <x:c r="G288" s="42" t="str">
        <x:v>1. Préparer les données. 2. Exécuter : Stocker les horodatages en TIMESTAMPTZ et afficher selon Africa/Bamako. 3. Consulter le résultat et l’audit.</x:v>
      </x:c>
      <x:c r="H288" s="42" t="str">
        <x:v>L'instant UTC, le fuseau d'affichage et la date métier restent non ambigus.</x:v>
      </x:c>
      <x:c r="I288" s="42" t="str">
        <x:v>Critique</x:v>
      </x:c>
      <x:c r="J288" s="42" t="str">
        <x:v>Synthétique valide</x:v>
      </x:c>
      <x:c r="K288" s="42" t="str">
        <x:v>À automatiser</x:v>
      </x:c>
      <x:c r="L288" s="42" t="str">
        <x:v>Non exécuté</x:v>
      </x:c>
      <x:c r="M288" s="42" t="str"/>
    </x:row>
    <x:row r="289">
      <x:c r="A289" s="42" t="str">
        <x:v>TC-DB-006-CTRL</x:v>
      </x:c>
      <x:c r="B289" s="42" t="str">
        <x:v>DB-006</x:v>
      </x:c>
      <x:c r="C289" s="42" t="str">
        <x:v>US-DB-006</x:v>
      </x:c>
      <x:c r="D289" s="42" t="str">
        <x:v>PostgreSQL et données</x:v>
      </x:c>
      <x:c r="E289" s="42" t="str">
        <x:v>Contrôle négatif</x:v>
      </x:c>
      <x:c r="F289" s="42" t="str">
        <x:v>Utilisateur non autorisé ou donnée invalide.</x:v>
      </x:c>
      <x:c r="G289" s="42" t="str">
        <x:v>1. Préparer un cas invalide. 2. Tenter l’opération. 3. Vérifier refus, message et absence d’effet secondaire.</x:v>
      </x:c>
      <x:c r="H289" s="42" t="str">
        <x:v>L’opération est refusée de manière sûre, sans altération des données, avec erreur corrélée et audit si applicable.</x:v>
      </x:c>
      <x:c r="I289" s="42" t="str">
        <x:v>Critique</x:v>
      </x:c>
      <x:c r="J289" s="42" t="str">
        <x:v>Synthétique invalide</x:v>
      </x:c>
      <x:c r="K289" s="42" t="str">
        <x:v>À automatiser</x:v>
      </x:c>
      <x:c r="L289" s="42" t="str">
        <x:v>Non exécuté</x:v>
      </x:c>
      <x:c r="M289" s="42" t="str"/>
    </x:row>
    <x:row r="290">
      <x:c r="A290" s="42" t="str">
        <x:v>TC-DB-006-CRIT</x:v>
      </x:c>
      <x:c r="B290" s="42" t="str">
        <x:v>DB-006</x:v>
      </x:c>
      <x:c r="C290" s="42" t="str">
        <x:v>US-DB-006</x:v>
      </x:c>
      <x:c r="D290" s="42" t="str">
        <x:v>PostgreSQL et données</x:v>
      </x:c>
      <x:c r="E290" s="42" t="str">
        <x:v>Critique / répétition</x:v>
      </x:c>
      <x:c r="F290" s="42" t="str">
        <x:v>Même requête rejouée ou opérations concurrentes.</x:v>
      </x:c>
      <x:c r="G290" s="42" t="str">
        <x:v>1. Exécuter l’opération. 2. Rejouer avec la même clé ou en concurrence. 3. Contrôler PostgreSQL et l’audit.</x:v>
      </x:c>
      <x:c r="H290" s="42" t="str">
        <x:v>Un seul effet métier est produit ; aucune double écriture, aucun contournement de permission et aucune incohérence.</x:v>
      </x:c>
      <x:c r="I290" s="42" t="str">
        <x:v>Critique</x:v>
      </x:c>
      <x:c r="J290" s="42" t="str">
        <x:v>Synthétique concurrence</x:v>
      </x:c>
      <x:c r="K290" s="42" t="str">
        <x:v>Obligatoire</x:v>
      </x:c>
      <x:c r="L290" s="42" t="str">
        <x:v>Non exécuté</x:v>
      </x:c>
      <x:c r="M290" s="42" t="str"/>
    </x:row>
    <x:row r="291">
      <x:c r="A291" s="42" t="str">
        <x:v>TC-DB-007-NOM</x:v>
      </x:c>
      <x:c r="B291" s="42" t="str">
        <x:v>DB-007</x:v>
      </x:c>
      <x:c r="C291" s="42" t="str">
        <x:v>US-DB-007</x:v>
      </x:c>
      <x:c r="D291" s="42" t="str">
        <x:v>PostgreSQL et données</x:v>
      </x:c>
      <x:c r="E291" s="42" t="str">
        <x:v>Nominal</x:v>
      </x:c>
      <x:c r="F291" s="42" t="str">
        <x:v>Utilisateur authentifié, autorisé et données valides.</x:v>
      </x:c>
      <x:c r="G291" s="42" t="str">
        <x:v>1. Préparer les données. 2. Exécuter : Imposer clés étrangères, unicité, CHECK et transactions sur les invariants métier. 3. Consulter le résultat et l’audit.</x:v>
      </x:c>
      <x:c r="H291" s="42" t="str">
        <x:v>Les incohérences critiques sont rejetées même si elles proviennent d'un import ou d'une API.</x:v>
      </x:c>
      <x:c r="I291" s="42" t="str">
        <x:v>Critique</x:v>
      </x:c>
      <x:c r="J291" s="42" t="str">
        <x:v>Synthétique valide</x:v>
      </x:c>
      <x:c r="K291" s="42" t="str">
        <x:v>À automatiser</x:v>
      </x:c>
      <x:c r="L291" s="42" t="str">
        <x:v>Non exécuté</x:v>
      </x:c>
      <x:c r="M291" s="42" t="str"/>
    </x:row>
    <x:row r="292">
      <x:c r="A292" s="42" t="str">
        <x:v>TC-DB-007-CTRL</x:v>
      </x:c>
      <x:c r="B292" s="42" t="str">
        <x:v>DB-007</x:v>
      </x:c>
      <x:c r="C292" s="42" t="str">
        <x:v>US-DB-007</x:v>
      </x:c>
      <x:c r="D292" s="42" t="str">
        <x:v>PostgreSQL et données</x:v>
      </x:c>
      <x:c r="E292" s="42" t="str">
        <x:v>Contrôle négatif</x:v>
      </x:c>
      <x:c r="F292" s="42" t="str">
        <x:v>Utilisateur non autorisé ou donnée invalide.</x:v>
      </x:c>
      <x:c r="G292" s="42" t="str">
        <x:v>1. Préparer un cas invalide. 2. Tenter l’opération. 3. Vérifier refus, message et absence d’effet secondaire.</x:v>
      </x:c>
      <x:c r="H292" s="42" t="str">
        <x:v>L’opération est refusée de manière sûre, sans altération des données, avec erreur corrélée et audit si applicable.</x:v>
      </x:c>
      <x:c r="I292" s="42" t="str">
        <x:v>Critique</x:v>
      </x:c>
      <x:c r="J292" s="42" t="str">
        <x:v>Synthétique invalide</x:v>
      </x:c>
      <x:c r="K292" s="42" t="str">
        <x:v>À automatiser</x:v>
      </x:c>
      <x:c r="L292" s="42" t="str">
        <x:v>Non exécuté</x:v>
      </x:c>
      <x:c r="M292" s="42" t="str"/>
    </x:row>
    <x:row r="293">
      <x:c r="A293" s="42" t="str">
        <x:v>TC-DB-007-CRIT</x:v>
      </x:c>
      <x:c r="B293" s="42" t="str">
        <x:v>DB-007</x:v>
      </x:c>
      <x:c r="C293" s="42" t="str">
        <x:v>US-DB-007</x:v>
      </x:c>
      <x:c r="D293" s="42" t="str">
        <x:v>PostgreSQL et données</x:v>
      </x:c>
      <x:c r="E293" s="42" t="str">
        <x:v>Critique / répétition</x:v>
      </x:c>
      <x:c r="F293" s="42" t="str">
        <x:v>Même requête rejouée ou opérations concurrentes.</x:v>
      </x:c>
      <x:c r="G293" s="42" t="str">
        <x:v>1. Exécuter l’opération. 2. Rejouer avec la même clé ou en concurrence. 3. Contrôler PostgreSQL et l’audit.</x:v>
      </x:c>
      <x:c r="H293" s="42" t="str">
        <x:v>Un seul effet métier est produit ; aucune double écriture, aucun contournement de permission et aucune incohérence.</x:v>
      </x:c>
      <x:c r="I293" s="42" t="str">
        <x:v>Critique</x:v>
      </x:c>
      <x:c r="J293" s="42" t="str">
        <x:v>Synthétique concurrence</x:v>
      </x:c>
      <x:c r="K293" s="42" t="str">
        <x:v>Obligatoire</x:v>
      </x:c>
      <x:c r="L293" s="42" t="str">
        <x:v>Non exécuté</x:v>
      </x:c>
      <x:c r="M293" s="42" t="str"/>
    </x:row>
    <x:row r="294">
      <x:c r="A294" s="42" t="str">
        <x:v>TC-DB-008-NOM</x:v>
      </x:c>
      <x:c r="B294" s="42" t="str">
        <x:v>DB-008</x:v>
      </x:c>
      <x:c r="C294" s="42" t="str">
        <x:v>US-DB-008</x:v>
      </x:c>
      <x:c r="D294" s="42" t="str">
        <x:v>PostgreSQL et données</x:v>
      </x:c>
      <x:c r="E294" s="42" t="str">
        <x:v>Nominal</x:v>
      </x:c>
      <x:c r="F294" s="42" t="str">
        <x:v>Utilisateur authentifié, autorisé et données valides.</x:v>
      </x:c>
      <x:c r="G294" s="42" t="str">
        <x:v>1. Préparer les données. 2. Exécuter : Rendre les écritures financières validées append-only. 3. Consulter le résultat et l’audit.</x:v>
      </x:c>
      <x:c r="H294" s="42" t="str">
        <x:v>Aucune suppression physique; annulation et correction par écritures compensatrices liées.</x:v>
      </x:c>
      <x:c r="I294" s="42" t="str">
        <x:v>Critique</x:v>
      </x:c>
      <x:c r="J294" s="42" t="str">
        <x:v>Synthétique valide</x:v>
      </x:c>
      <x:c r="K294" s="42" t="str">
        <x:v>À automatiser</x:v>
      </x:c>
      <x:c r="L294" s="42" t="str">
        <x:v>Non exécuté</x:v>
      </x:c>
      <x:c r="M294" s="42" t="str"/>
    </x:row>
    <x:row r="295">
      <x:c r="A295" s="42" t="str">
        <x:v>TC-DB-008-CTRL</x:v>
      </x:c>
      <x:c r="B295" s="42" t="str">
        <x:v>DB-008</x:v>
      </x:c>
      <x:c r="C295" s="42" t="str">
        <x:v>US-DB-008</x:v>
      </x:c>
      <x:c r="D295" s="42" t="str">
        <x:v>PostgreSQL et données</x:v>
      </x:c>
      <x:c r="E295" s="42" t="str">
        <x:v>Contrôle négatif</x:v>
      </x:c>
      <x:c r="F295" s="42" t="str">
        <x:v>Utilisateur non autorisé ou donnée invalide.</x:v>
      </x:c>
      <x:c r="G295" s="42" t="str">
        <x:v>1. Préparer un cas invalide. 2. Tenter l’opération. 3. Vérifier refus, message et absence d’effet secondaire.</x:v>
      </x:c>
      <x:c r="H295" s="42" t="str">
        <x:v>L’opération est refusée de manière sûre, sans altération des données, avec erreur corrélée et audit si applicable.</x:v>
      </x:c>
      <x:c r="I295" s="42" t="str">
        <x:v>Critique</x:v>
      </x:c>
      <x:c r="J295" s="42" t="str">
        <x:v>Synthétique invalide</x:v>
      </x:c>
      <x:c r="K295" s="42" t="str">
        <x:v>À automatiser</x:v>
      </x:c>
      <x:c r="L295" s="42" t="str">
        <x:v>Non exécuté</x:v>
      </x:c>
      <x:c r="M295" s="42" t="str"/>
    </x:row>
    <x:row r="296">
      <x:c r="A296" s="42" t="str">
        <x:v>TC-DB-008-CRIT</x:v>
      </x:c>
      <x:c r="B296" s="42" t="str">
        <x:v>DB-008</x:v>
      </x:c>
      <x:c r="C296" s="42" t="str">
        <x:v>US-DB-008</x:v>
      </x:c>
      <x:c r="D296" s="42" t="str">
        <x:v>PostgreSQL et données</x:v>
      </x:c>
      <x:c r="E296" s="42" t="str">
        <x:v>Critique / répétition</x:v>
      </x:c>
      <x:c r="F296" s="42" t="str">
        <x:v>Même requête rejouée ou opérations concurrentes.</x:v>
      </x:c>
      <x:c r="G296" s="42" t="str">
        <x:v>1. Exécuter l’opération. 2. Rejouer avec la même clé ou en concurrence. 3. Contrôler PostgreSQL et l’audit.</x:v>
      </x:c>
      <x:c r="H296" s="42" t="str">
        <x:v>Un seul effet métier est produit ; aucune double écriture, aucun contournement de permission et aucune incohérence.</x:v>
      </x:c>
      <x:c r="I296" s="42" t="str">
        <x:v>Critique</x:v>
      </x:c>
      <x:c r="J296" s="42" t="str">
        <x:v>Synthétique concurrence</x:v>
      </x:c>
      <x:c r="K296" s="42" t="str">
        <x:v>Obligatoire</x:v>
      </x:c>
      <x:c r="L296" s="42" t="str">
        <x:v>Non exécuté</x:v>
      </x:c>
      <x:c r="M296" s="42" t="str"/>
    </x:row>
    <x:row r="297">
      <x:c r="A297" s="42" t="str">
        <x:v>TC-DB-009-NOM</x:v>
      </x:c>
      <x:c r="B297" s="42" t="str">
        <x:v>DB-009</x:v>
      </x:c>
      <x:c r="C297" s="42" t="str">
        <x:v>US-DB-009</x:v>
      </x:c>
      <x:c r="D297" s="42" t="str">
        <x:v>PostgreSQL et données</x:v>
      </x:c>
      <x:c r="E297" s="42" t="str">
        <x:v>Nominal</x:v>
      </x:c>
      <x:c r="F297" s="42" t="str">
        <x:v>Utilisateur authentifié, autorisé et données valides.</x:v>
      </x:c>
      <x:c r="G297" s="42" t="str">
        <x:v>1. Préparer les données. 2. Exécuter : Garantir l'idempotence par contraintes uniques et clés de déduplication. 3. Consulter le résultat et l’audit.</x:v>
      </x:c>
      <x:c r="H297" s="42" t="str">
        <x:v>Une transaction externe, un webhook ou un lot rejoué ne peut être comptabilisé deux fois.</x:v>
      </x:c>
      <x:c r="I297" s="42" t="str">
        <x:v>Critique</x:v>
      </x:c>
      <x:c r="J297" s="42" t="str">
        <x:v>Synthétique valide</x:v>
      </x:c>
      <x:c r="K297" s="42" t="str">
        <x:v>À automatiser</x:v>
      </x:c>
      <x:c r="L297" s="42" t="str">
        <x:v>Non exécuté</x:v>
      </x:c>
      <x:c r="M297" s="42" t="str"/>
    </x:row>
    <x:row r="298">
      <x:c r="A298" s="42" t="str">
        <x:v>TC-DB-009-CTRL</x:v>
      </x:c>
      <x:c r="B298" s="42" t="str">
        <x:v>DB-009</x:v>
      </x:c>
      <x:c r="C298" s="42" t="str">
        <x:v>US-DB-009</x:v>
      </x:c>
      <x:c r="D298" s="42" t="str">
        <x:v>PostgreSQL et données</x:v>
      </x:c>
      <x:c r="E298" s="42" t="str">
        <x:v>Contrôle négatif</x:v>
      </x:c>
      <x:c r="F298" s="42" t="str">
        <x:v>Utilisateur non autorisé ou donnée invalide.</x:v>
      </x:c>
      <x:c r="G298" s="42" t="str">
        <x:v>1. Préparer un cas invalide. 2. Tenter l’opération. 3. Vérifier refus, message et absence d’effet secondaire.</x:v>
      </x:c>
      <x:c r="H298" s="42" t="str">
        <x:v>L’opération est refusée de manière sûre, sans altération des données, avec erreur corrélée et audit si applicable.</x:v>
      </x:c>
      <x:c r="I298" s="42" t="str">
        <x:v>Critique</x:v>
      </x:c>
      <x:c r="J298" s="42" t="str">
        <x:v>Synthétique invalide</x:v>
      </x:c>
      <x:c r="K298" s="42" t="str">
        <x:v>À automatiser</x:v>
      </x:c>
      <x:c r="L298" s="42" t="str">
        <x:v>Non exécuté</x:v>
      </x:c>
      <x:c r="M298" s="42" t="str"/>
    </x:row>
    <x:row r="299">
      <x:c r="A299" s="42" t="str">
        <x:v>TC-DB-009-CRIT</x:v>
      </x:c>
      <x:c r="B299" s="42" t="str">
        <x:v>DB-009</x:v>
      </x:c>
      <x:c r="C299" s="42" t="str">
        <x:v>US-DB-009</x:v>
      </x:c>
      <x:c r="D299" s="42" t="str">
        <x:v>PostgreSQL et données</x:v>
      </x:c>
      <x:c r="E299" s="42" t="str">
        <x:v>Critique / répétition</x:v>
      </x:c>
      <x:c r="F299" s="42" t="str">
        <x:v>Même requête rejouée ou opérations concurrentes.</x:v>
      </x:c>
      <x:c r="G299" s="42" t="str">
        <x:v>1. Exécuter l’opération. 2. Rejouer avec la même clé ou en concurrence. 3. Contrôler PostgreSQL et l’audit.</x:v>
      </x:c>
      <x:c r="H299" s="42" t="str">
        <x:v>Un seul effet métier est produit ; aucune double écriture, aucun contournement de permission et aucune incohérence.</x:v>
      </x:c>
      <x:c r="I299" s="42" t="str">
        <x:v>Critique</x:v>
      </x:c>
      <x:c r="J299" s="42" t="str">
        <x:v>Synthétique concurrence</x:v>
      </x:c>
      <x:c r="K299" s="42" t="str">
        <x:v>Obligatoire</x:v>
      </x:c>
      <x:c r="L299" s="42" t="str">
        <x:v>Non exécuté</x:v>
      </x:c>
      <x:c r="M299" s="42" t="str"/>
    </x:row>
    <x:row r="300">
      <x:c r="A300" s="42" t="str">
        <x:v>TC-DB-010-NOM</x:v>
      </x:c>
      <x:c r="B300" s="42" t="str">
        <x:v>DB-010</x:v>
      </x:c>
      <x:c r="C300" s="42" t="str">
        <x:v>US-DB-010</x:v>
      </x:c>
      <x:c r="D300" s="42" t="str">
        <x:v>PostgreSQL et données</x:v>
      </x:c>
      <x:c r="E300" s="42" t="str">
        <x:v>Nominal</x:v>
      </x:c>
      <x:c r="F300" s="42" t="str">
        <x:v>Utilisateur authentifié, autorisé et données valides.</x:v>
      </x:c>
      <x:c r="G300" s="42" t="str">
        <x:v>1. Préparer les données. 2. Exécuter : Limiter JSONB aux métadonnées extensibles non critiques. 3. Consulter le résultat et l’audit.</x:v>
      </x:c>
      <x:c r="H300" s="42" t="str">
        <x:v>Les champs de recherche, calcul, contrôle ou reporting sont modélisés en colonnes typées.</x:v>
      </x:c>
      <x:c r="I300" s="42" t="str">
        <x:v>Critique</x:v>
      </x:c>
      <x:c r="J300" s="42" t="str">
        <x:v>Synthétique valide</x:v>
      </x:c>
      <x:c r="K300" s="42" t="str">
        <x:v>À automatiser</x:v>
      </x:c>
      <x:c r="L300" s="42" t="str">
        <x:v>Non exécuté</x:v>
      </x:c>
      <x:c r="M300" s="42" t="str"/>
    </x:row>
    <x:row r="301">
      <x:c r="A301" s="42" t="str">
        <x:v>TC-DB-010-CTRL</x:v>
      </x:c>
      <x:c r="B301" s="42" t="str">
        <x:v>DB-010</x:v>
      </x:c>
      <x:c r="C301" s="42" t="str">
        <x:v>US-DB-010</x:v>
      </x:c>
      <x:c r="D301" s="42" t="str">
        <x:v>PostgreSQL et données</x:v>
      </x:c>
      <x:c r="E301" s="42" t="str">
        <x:v>Contrôle négatif</x:v>
      </x:c>
      <x:c r="F301" s="42" t="str">
        <x:v>Utilisateur non autorisé ou donnée invalide.</x:v>
      </x:c>
      <x:c r="G301" s="42" t="str">
        <x:v>1. Préparer un cas invalide. 2. Tenter l’opération. 3. Vérifier refus, message et absence d’effet secondaire.</x:v>
      </x:c>
      <x:c r="H301" s="42" t="str">
        <x:v>L’opération est refusée de manière sûre, sans altération des données, avec erreur corrélée et audit si applicable.</x:v>
      </x:c>
      <x:c r="I301" s="42" t="str">
        <x:v>Critique</x:v>
      </x:c>
      <x:c r="J301" s="42" t="str">
        <x:v>Synthétique invalide</x:v>
      </x:c>
      <x:c r="K301" s="42" t="str">
        <x:v>À automatiser</x:v>
      </x:c>
      <x:c r="L301" s="42" t="str">
        <x:v>Non exécuté</x:v>
      </x:c>
      <x:c r="M301" s="42" t="str"/>
    </x:row>
    <x:row r="302">
      <x:c r="A302" s="42" t="str">
        <x:v>TC-DB-010-CRIT</x:v>
      </x:c>
      <x:c r="B302" s="42" t="str">
        <x:v>DB-010</x:v>
      </x:c>
      <x:c r="C302" s="42" t="str">
        <x:v>US-DB-010</x:v>
      </x:c>
      <x:c r="D302" s="42" t="str">
        <x:v>PostgreSQL et données</x:v>
      </x:c>
      <x:c r="E302" s="42" t="str">
        <x:v>Critique / répétition</x:v>
      </x:c>
      <x:c r="F302" s="42" t="str">
        <x:v>Même requête rejouée ou opérations concurrentes.</x:v>
      </x:c>
      <x:c r="G302" s="42" t="str">
        <x:v>1. Exécuter l’opération. 2. Rejouer avec la même clé ou en concurrence. 3. Contrôler PostgreSQL et l’audit.</x:v>
      </x:c>
      <x:c r="H302" s="42" t="str">
        <x:v>Un seul effet métier est produit ; aucune double écriture, aucun contournement de permission et aucune incohérence.</x:v>
      </x:c>
      <x:c r="I302" s="42" t="str">
        <x:v>Critique</x:v>
      </x:c>
      <x:c r="J302" s="42" t="str">
        <x:v>Synthétique concurrence</x:v>
      </x:c>
      <x:c r="K302" s="42" t="str">
        <x:v>Obligatoire</x:v>
      </x:c>
      <x:c r="L302" s="42" t="str">
        <x:v>Non exécuté</x:v>
      </x:c>
      <x:c r="M302" s="42" t="str"/>
    </x:row>
    <x:row r="303">
      <x:c r="A303" s="42" t="str">
        <x:v>TC-DB-011-NOM</x:v>
      </x:c>
      <x:c r="B303" s="42" t="str">
        <x:v>DB-011</x:v>
      </x:c>
      <x:c r="C303" s="42" t="str">
        <x:v>US-DB-011</x:v>
      </x:c>
      <x:c r="D303" s="42" t="str">
        <x:v>PostgreSQL et données</x:v>
      </x:c>
      <x:c r="E303" s="42" t="str">
        <x:v>Nominal</x:v>
      </x:c>
      <x:c r="F303" s="42" t="str">
        <x:v>Utilisateur authentifié, autorisé et données valides.</x:v>
      </x:c>
      <x:c r="G303" s="42" t="str">
        <x:v>1. Préparer les données. 2. Exécuter : Indexer et partitionner selon des mesures réelles. 3. Consulter le résultat et l’audit.</x:v>
      </x:c>
      <x:c r="H303" s="42" t="str">
        <x:v>B-tree par défaut; GIN/pg_trgm pour recherche; partitionnement des audits, événements et notifications si nécessaire.</x:v>
      </x:c>
      <x:c r="I303" s="42" t="str">
        <x:v>Haute</x:v>
      </x:c>
      <x:c r="J303" s="42" t="str">
        <x:v>Synthétique valide</x:v>
      </x:c>
      <x:c r="K303" s="42" t="str">
        <x:v>À automatiser</x:v>
      </x:c>
      <x:c r="L303" s="42" t="str">
        <x:v>Non exécuté</x:v>
      </x:c>
      <x:c r="M303" s="42" t="str"/>
    </x:row>
    <x:row r="304">
      <x:c r="A304" s="42" t="str">
        <x:v>TC-DB-011-CTRL</x:v>
      </x:c>
      <x:c r="B304" s="42" t="str">
        <x:v>DB-011</x:v>
      </x:c>
      <x:c r="C304" s="42" t="str">
        <x:v>US-DB-011</x:v>
      </x:c>
      <x:c r="D304" s="42" t="str">
        <x:v>PostgreSQL et données</x:v>
      </x:c>
      <x:c r="E304" s="42" t="str">
        <x:v>Contrôle négatif</x:v>
      </x:c>
      <x:c r="F304" s="42" t="str">
        <x:v>Utilisateur non autorisé ou donnée invalide.</x:v>
      </x:c>
      <x:c r="G304" s="42" t="str">
        <x:v>1. Préparer un cas invalide. 2. Tenter l’opération. 3. Vérifier refus, message et absence d’effet secondaire.</x:v>
      </x:c>
      <x:c r="H304" s="42" t="str">
        <x:v>L’opération est refusée de manière sûre, sans altération des données, avec erreur corrélée et audit si applicable.</x:v>
      </x:c>
      <x:c r="I304" s="42" t="str">
        <x:v>Critique</x:v>
      </x:c>
      <x:c r="J304" s="42" t="str">
        <x:v>Synthétique invalide</x:v>
      </x:c>
      <x:c r="K304" s="42" t="str">
        <x:v>À automatiser</x:v>
      </x:c>
      <x:c r="L304" s="42" t="str">
        <x:v>Non exécuté</x:v>
      </x:c>
      <x:c r="M304" s="42" t="str"/>
    </x:row>
    <x:row r="305">
      <x:c r="A305" s="42" t="str">
        <x:v>TC-DB-011-CRIT</x:v>
      </x:c>
      <x:c r="B305" s="42" t="str">
        <x:v>DB-011</x:v>
      </x:c>
      <x:c r="C305" s="42" t="str">
        <x:v>US-DB-011</x:v>
      </x:c>
      <x:c r="D305" s="42" t="str">
        <x:v>PostgreSQL et données</x:v>
      </x:c>
      <x:c r="E305" s="42" t="str">
        <x:v>Critique / répétition</x:v>
      </x:c>
      <x:c r="F305" s="42" t="str">
        <x:v>Même requête rejouée ou opérations concurrentes.</x:v>
      </x:c>
      <x:c r="G305" s="42" t="str">
        <x:v>1. Exécuter l’opération. 2. Rejouer avec la même clé ou en concurrence. 3. Contrôler PostgreSQL et l’audit.</x:v>
      </x:c>
      <x:c r="H305" s="42" t="str">
        <x:v>Un seul effet métier est produit ; aucune double écriture, aucun contournement de permission et aucune incohérence.</x:v>
      </x:c>
      <x:c r="I305" s="42" t="str">
        <x:v>Critique</x:v>
      </x:c>
      <x:c r="J305" s="42" t="str">
        <x:v>Synthétique concurrence</x:v>
      </x:c>
      <x:c r="K305" s="42" t="str">
        <x:v>Obligatoire</x:v>
      </x:c>
      <x:c r="L305" s="42" t="str">
        <x:v>Non exécuté</x:v>
      </x:c>
      <x:c r="M305" s="42" t="str"/>
    </x:row>
    <x:row r="306">
      <x:c r="A306" s="42" t="str">
        <x:v>TC-DB-012-NOM</x:v>
      </x:c>
      <x:c r="B306" s="42" t="str">
        <x:v>DB-012</x:v>
      </x:c>
      <x:c r="C306" s="42" t="str">
        <x:v>US-DB-012</x:v>
      </x:c>
      <x:c r="D306" s="42" t="str">
        <x:v>PostgreSQL et données</x:v>
      </x:c>
      <x:c r="E306" s="42" t="str">
        <x:v>Nominal</x:v>
      </x:c>
      <x:c r="F306" s="42" t="str">
        <x:v>Utilisateur authentifié, autorisé et données valides.</x:v>
      </x:c>
      <x:c r="G306" s="42" t="str">
        <x:v>1. Préparer les données. 2. Exécuter : Appliquer les migrations par Flyway dans la CI/CD. 3. Consulter le résultat et l’audit.</x:v>
      </x:c>
      <x:c r="H306" s="42" t="str">
        <x:v>Scripts versionnés, revus, testés sur copie représentative et compatibles avec un déploiement progressif.</x:v>
      </x:c>
      <x:c r="I306" s="42" t="str">
        <x:v>Critique</x:v>
      </x:c>
      <x:c r="J306" s="42" t="str">
        <x:v>Synthétique valide</x:v>
      </x:c>
      <x:c r="K306" s="42" t="str">
        <x:v>À automatiser</x:v>
      </x:c>
      <x:c r="L306" s="42" t="str">
        <x:v>Non exécuté</x:v>
      </x:c>
      <x:c r="M306" s="42" t="str"/>
    </x:row>
    <x:row r="307">
      <x:c r="A307" s="42" t="str">
        <x:v>TC-DB-012-CTRL</x:v>
      </x:c>
      <x:c r="B307" s="42" t="str">
        <x:v>DB-012</x:v>
      </x:c>
      <x:c r="C307" s="42" t="str">
        <x:v>US-DB-012</x:v>
      </x:c>
      <x:c r="D307" s="42" t="str">
        <x:v>PostgreSQL et données</x:v>
      </x:c>
      <x:c r="E307" s="42" t="str">
        <x:v>Contrôle négatif</x:v>
      </x:c>
      <x:c r="F307" s="42" t="str">
        <x:v>Utilisateur non autorisé ou donnée invalide.</x:v>
      </x:c>
      <x:c r="G307" s="42" t="str">
        <x:v>1. Préparer un cas invalide. 2. Tenter l’opération. 3. Vérifier refus, message et absence d’effet secondaire.</x:v>
      </x:c>
      <x:c r="H307" s="42" t="str">
        <x:v>L’opération est refusée de manière sûre, sans altération des données, avec erreur corrélée et audit si applicable.</x:v>
      </x:c>
      <x:c r="I307" s="42" t="str">
        <x:v>Critique</x:v>
      </x:c>
      <x:c r="J307" s="42" t="str">
        <x:v>Synthétique invalide</x:v>
      </x:c>
      <x:c r="K307" s="42" t="str">
        <x:v>À automatiser</x:v>
      </x:c>
      <x:c r="L307" s="42" t="str">
        <x:v>Non exécuté</x:v>
      </x:c>
      <x:c r="M307" s="42" t="str"/>
    </x:row>
    <x:row r="308">
      <x:c r="A308" s="42" t="str">
        <x:v>TC-DB-012-CRIT</x:v>
      </x:c>
      <x:c r="B308" s="42" t="str">
        <x:v>DB-012</x:v>
      </x:c>
      <x:c r="C308" s="42" t="str">
        <x:v>US-DB-012</x:v>
      </x:c>
      <x:c r="D308" s="42" t="str">
        <x:v>PostgreSQL et données</x:v>
      </x:c>
      <x:c r="E308" s="42" t="str">
        <x:v>Critique / répétition</x:v>
      </x:c>
      <x:c r="F308" s="42" t="str">
        <x:v>Même requête rejouée ou opérations concurrentes.</x:v>
      </x:c>
      <x:c r="G308" s="42" t="str">
        <x:v>1. Exécuter l’opération. 2. Rejouer avec la même clé ou en concurrence. 3. Contrôler PostgreSQL et l’audit.</x:v>
      </x:c>
      <x:c r="H308" s="42" t="str">
        <x:v>Un seul effet métier est produit ; aucune double écriture, aucun contournement de permission et aucune incohérence.</x:v>
      </x:c>
      <x:c r="I308" s="42" t="str">
        <x:v>Critique</x:v>
      </x:c>
      <x:c r="J308" s="42" t="str">
        <x:v>Synthétique concurrence</x:v>
      </x:c>
      <x:c r="K308" s="42" t="str">
        <x:v>Obligatoire</x:v>
      </x:c>
      <x:c r="L308" s="42" t="str">
        <x:v>Non exécuté</x:v>
      </x:c>
      <x:c r="M308" s="42" t="str"/>
    </x:row>
    <x:row r="309">
      <x:c r="A309" s="42" t="str">
        <x:v>TC-DB-013-NOM</x:v>
      </x:c>
      <x:c r="B309" s="42" t="str">
        <x:v>DB-013</x:v>
      </x:c>
      <x:c r="C309" s="42" t="str">
        <x:v>US-DB-013</x:v>
      </x:c>
      <x:c r="D309" s="42" t="str">
        <x:v>PostgreSQL et données</x:v>
      </x:c>
      <x:c r="E309" s="42" t="str">
        <x:v>Nominal</x:v>
      </x:c>
      <x:c r="F309" s="42" t="str">
        <x:v>Utilisateur authentifié, autorisé et données valides.</x:v>
      </x:c>
      <x:c r="G309" s="42" t="str">
        <x:v>1. Préparer les données. 2. Exécuter : Mettre en place sauvegardes chiffrées, archivage WAL et PITR. 3. Consulter le résultat et l’audit.</x:v>
      </x:c>
      <x:c r="H309" s="42" t="str">
        <x:v>RPO 15 min et RTO 4 h démontrés par un test de restauration documenté.</x:v>
      </x:c>
      <x:c r="I309" s="42" t="str">
        <x:v>Critique</x:v>
      </x:c>
      <x:c r="J309" s="42" t="str">
        <x:v>Synthétique valide</x:v>
      </x:c>
      <x:c r="K309" s="42" t="str">
        <x:v>À automatiser</x:v>
      </x:c>
      <x:c r="L309" s="42" t="str">
        <x:v>Non exécuté</x:v>
      </x:c>
      <x:c r="M309" s="42" t="str"/>
    </x:row>
    <x:row r="310">
      <x:c r="A310" s="42" t="str">
        <x:v>TC-DB-013-CTRL</x:v>
      </x:c>
      <x:c r="B310" s="42" t="str">
        <x:v>DB-013</x:v>
      </x:c>
      <x:c r="C310" s="42" t="str">
        <x:v>US-DB-013</x:v>
      </x:c>
      <x:c r="D310" s="42" t="str">
        <x:v>PostgreSQL et données</x:v>
      </x:c>
      <x:c r="E310" s="42" t="str">
        <x:v>Contrôle négatif</x:v>
      </x:c>
      <x:c r="F310" s="42" t="str">
        <x:v>Utilisateur non autorisé ou donnée invalide.</x:v>
      </x:c>
      <x:c r="G310" s="42" t="str">
        <x:v>1. Préparer un cas invalide. 2. Tenter l’opération. 3. Vérifier refus, message et absence d’effet secondaire.</x:v>
      </x:c>
      <x:c r="H310" s="42" t="str">
        <x:v>L’opération est refusée de manière sûre, sans altération des données, avec erreur corrélée et audit si applicable.</x:v>
      </x:c>
      <x:c r="I310" s="42" t="str">
        <x:v>Critique</x:v>
      </x:c>
      <x:c r="J310" s="42" t="str">
        <x:v>Synthétique invalide</x:v>
      </x:c>
      <x:c r="K310" s="42" t="str">
        <x:v>À automatiser</x:v>
      </x:c>
      <x:c r="L310" s="42" t="str">
        <x:v>Non exécuté</x:v>
      </x:c>
      <x:c r="M310" s="42" t="str"/>
    </x:row>
    <x:row r="311">
      <x:c r="A311" s="42" t="str">
        <x:v>TC-DB-013-CRIT</x:v>
      </x:c>
      <x:c r="B311" s="42" t="str">
        <x:v>DB-013</x:v>
      </x:c>
      <x:c r="C311" s="42" t="str">
        <x:v>US-DB-013</x:v>
      </x:c>
      <x:c r="D311" s="42" t="str">
        <x:v>PostgreSQL et données</x:v>
      </x:c>
      <x:c r="E311" s="42" t="str">
        <x:v>Critique / répétition</x:v>
      </x:c>
      <x:c r="F311" s="42" t="str">
        <x:v>Même requête rejouée ou opérations concurrentes.</x:v>
      </x:c>
      <x:c r="G311" s="42" t="str">
        <x:v>1. Exécuter l’opération. 2. Rejouer avec la même clé ou en concurrence. 3. Contrôler PostgreSQL et l’audit.</x:v>
      </x:c>
      <x:c r="H311" s="42" t="str">
        <x:v>Un seul effet métier est produit ; aucune double écriture, aucun contournement de permission et aucune incohérence.</x:v>
      </x:c>
      <x:c r="I311" s="42" t="str">
        <x:v>Critique</x:v>
      </x:c>
      <x:c r="J311" s="42" t="str">
        <x:v>Synthétique concurrence</x:v>
      </x:c>
      <x:c r="K311" s="42" t="str">
        <x:v>Obligatoire</x:v>
      </x:c>
      <x:c r="L311" s="42" t="str">
        <x:v>Non exécuté</x:v>
      </x:c>
      <x:c r="M311" s="42" t="str"/>
    </x:row>
    <x:row r="312">
      <x:c r="A312" s="42" t="str">
        <x:v>TC-DB-014-NOM</x:v>
      </x:c>
      <x:c r="B312" s="42" t="str">
        <x:v>DB-014</x:v>
      </x:c>
      <x:c r="C312" s="42" t="str">
        <x:v>US-DB-014</x:v>
      </x:c>
      <x:c r="D312" s="42" t="str">
        <x:v>PostgreSQL et données</x:v>
      </x:c>
      <x:c r="E312" s="42" t="str">
        <x:v>Nominal</x:v>
      </x:c>
      <x:c r="F312" s="42" t="str">
        <x:v>Utilisateur authentifié, autorisé et données valides.</x:v>
      </x:c>
      <x:c r="G312" s="42" t="str">
        <x:v>1. Préparer les données. 2. Exécuter : Prévoir haute disponibilité et lecture décisionnelle séparée. 3. Consulter le résultat et l’audit.</x:v>
      </x:c>
      <x:c r="H312" s="42" t="str">
        <x:v>Standby répliqué et bascule testée; BI sur réplique ou vues dédiées, jamais par requêtes lourdes sur le primaire.</x:v>
      </x:c>
      <x:c r="I312" s="42" t="str">
        <x:v>Critique</x:v>
      </x:c>
      <x:c r="J312" s="42" t="str">
        <x:v>Synthétique valide</x:v>
      </x:c>
      <x:c r="K312" s="42" t="str">
        <x:v>À automatiser</x:v>
      </x:c>
      <x:c r="L312" s="42" t="str">
        <x:v>Non exécuté</x:v>
      </x:c>
      <x:c r="M312" s="42" t="str"/>
    </x:row>
    <x:row r="313">
      <x:c r="A313" s="42" t="str">
        <x:v>TC-DB-014-CTRL</x:v>
      </x:c>
      <x:c r="B313" s="42" t="str">
        <x:v>DB-014</x:v>
      </x:c>
      <x:c r="C313" s="42" t="str">
        <x:v>US-DB-014</x:v>
      </x:c>
      <x:c r="D313" s="42" t="str">
        <x:v>PostgreSQL et données</x:v>
      </x:c>
      <x:c r="E313" s="42" t="str">
        <x:v>Contrôle négatif</x:v>
      </x:c>
      <x:c r="F313" s="42" t="str">
        <x:v>Utilisateur non autorisé ou donnée invalide.</x:v>
      </x:c>
      <x:c r="G313" s="42" t="str">
        <x:v>1. Préparer un cas invalide. 2. Tenter l’opération. 3. Vérifier refus, message et absence d’effet secondaire.</x:v>
      </x:c>
      <x:c r="H313" s="42" t="str">
        <x:v>L’opération est refusée de manière sûre, sans altération des données, avec erreur corrélée et audit si applicable.</x:v>
      </x:c>
      <x:c r="I313" s="42" t="str">
        <x:v>Critique</x:v>
      </x:c>
      <x:c r="J313" s="42" t="str">
        <x:v>Synthétique invalide</x:v>
      </x:c>
      <x:c r="K313" s="42" t="str">
        <x:v>À automatiser</x:v>
      </x:c>
      <x:c r="L313" s="42" t="str">
        <x:v>Non exécuté</x:v>
      </x:c>
      <x:c r="M313" s="42" t="str"/>
    </x:row>
    <x:row r="314">
      <x:c r="A314" s="42" t="str">
        <x:v>TC-DB-014-CRIT</x:v>
      </x:c>
      <x:c r="B314" s="42" t="str">
        <x:v>DB-014</x:v>
      </x:c>
      <x:c r="C314" s="42" t="str">
        <x:v>US-DB-014</x:v>
      </x:c>
      <x:c r="D314" s="42" t="str">
        <x:v>PostgreSQL et données</x:v>
      </x:c>
      <x:c r="E314" s="42" t="str">
        <x:v>Critique / répétition</x:v>
      </x:c>
      <x:c r="F314" s="42" t="str">
        <x:v>Même requête rejouée ou opérations concurrentes.</x:v>
      </x:c>
      <x:c r="G314" s="42" t="str">
        <x:v>1. Exécuter l’opération. 2. Rejouer avec la même clé ou en concurrence. 3. Contrôler PostgreSQL et l’audit.</x:v>
      </x:c>
      <x:c r="H314" s="42" t="str">
        <x:v>Un seul effet métier est produit ; aucune double écriture, aucun contournement de permission et aucune incohérence.</x:v>
      </x:c>
      <x:c r="I314" s="42" t="str">
        <x:v>Critique</x:v>
      </x:c>
      <x:c r="J314" s="42" t="str">
        <x:v>Synthétique concurrence</x:v>
      </x:c>
      <x:c r="K314" s="42" t="str">
        <x:v>Obligatoire</x:v>
      </x:c>
      <x:c r="L314" s="42" t="str">
        <x:v>Non exécuté</x:v>
      </x:c>
      <x:c r="M314" s="42" t="str"/>
    </x:row>
    <x:row r="315">
      <x:c r="A315" s="42" t="str">
        <x:v>TC-DB-015-NOM</x:v>
      </x:c>
      <x:c r="B315" s="42" t="str">
        <x:v>DB-015</x:v>
      </x:c>
      <x:c r="C315" s="42" t="str">
        <x:v>US-DB-015</x:v>
      </x:c>
      <x:c r="D315" s="42" t="str">
        <x:v>PostgreSQL et données</x:v>
      </x:c>
      <x:c r="E315" s="42" t="str">
        <x:v>Nominal</x:v>
      </x:c>
      <x:c r="F315" s="42" t="str">
        <x:v>Utilisateur authentifié, autorisé et données valides.</x:v>
      </x:c>
      <x:c r="G315" s="42" t="str">
        <x:v>1. Préparer les données. 2. Exécuter : Superviser capacité, verrous, réplication, vacuum et requêtes lentes. 3. Consulter le résultat et l’audit.</x:v>
      </x:c>
      <x:c r="H315" s="42" t="str">
        <x:v>Alertes, pg_stat_statements, seuils et runbooks d'intervention disponibles.</x:v>
      </x:c>
      <x:c r="I315" s="42" t="str">
        <x:v>Critique</x:v>
      </x:c>
      <x:c r="J315" s="42" t="str">
        <x:v>Synthétique valide</x:v>
      </x:c>
      <x:c r="K315" s="42" t="str">
        <x:v>À automatiser</x:v>
      </x:c>
      <x:c r="L315" s="42" t="str">
        <x:v>Non exécuté</x:v>
      </x:c>
      <x:c r="M315" s="42" t="str"/>
    </x:row>
    <x:row r="316">
      <x:c r="A316" s="42" t="str">
        <x:v>TC-DB-015-CTRL</x:v>
      </x:c>
      <x:c r="B316" s="42" t="str">
        <x:v>DB-015</x:v>
      </x:c>
      <x:c r="C316" s="42" t="str">
        <x:v>US-DB-015</x:v>
      </x:c>
      <x:c r="D316" s="42" t="str">
        <x:v>PostgreSQL et données</x:v>
      </x:c>
      <x:c r="E316" s="42" t="str">
        <x:v>Contrôle négatif</x:v>
      </x:c>
      <x:c r="F316" s="42" t="str">
        <x:v>Utilisateur non autorisé ou donnée invalide.</x:v>
      </x:c>
      <x:c r="G316" s="42" t="str">
        <x:v>1. Préparer un cas invalide. 2. Tenter l’opération. 3. Vérifier refus, message et absence d’effet secondaire.</x:v>
      </x:c>
      <x:c r="H316" s="42" t="str">
        <x:v>L’opération est refusée de manière sûre, sans altération des données, avec erreur corrélée et audit si applicable.</x:v>
      </x:c>
      <x:c r="I316" s="42" t="str">
        <x:v>Critique</x:v>
      </x:c>
      <x:c r="J316" s="42" t="str">
        <x:v>Synthétique invalide</x:v>
      </x:c>
      <x:c r="K316" s="42" t="str">
        <x:v>À automatiser</x:v>
      </x:c>
      <x:c r="L316" s="42" t="str">
        <x:v>Non exécuté</x:v>
      </x:c>
      <x:c r="M316" s="42" t="str"/>
    </x:row>
    <x:row r="317">
      <x:c r="A317" s="42" t="str">
        <x:v>TC-DB-015-CRIT</x:v>
      </x:c>
      <x:c r="B317" s="42" t="str">
        <x:v>DB-015</x:v>
      </x:c>
      <x:c r="C317" s="42" t="str">
        <x:v>US-DB-015</x:v>
      </x:c>
      <x:c r="D317" s="42" t="str">
        <x:v>PostgreSQL et données</x:v>
      </x:c>
      <x:c r="E317" s="42" t="str">
        <x:v>Critique / répétition</x:v>
      </x:c>
      <x:c r="F317" s="42" t="str">
        <x:v>Même requête rejouée ou opérations concurrentes.</x:v>
      </x:c>
      <x:c r="G317" s="42" t="str">
        <x:v>1. Exécuter l’opération. 2. Rejouer avec la même clé ou en concurrence. 3. Contrôler PostgreSQL et l’audit.</x:v>
      </x:c>
      <x:c r="H317" s="42" t="str">
        <x:v>Un seul effet métier est produit ; aucune double écriture, aucun contournement de permission et aucune incohérence.</x:v>
      </x:c>
      <x:c r="I317" s="42" t="str">
        <x:v>Critique</x:v>
      </x:c>
      <x:c r="J317" s="42" t="str">
        <x:v>Synthétique concurrence</x:v>
      </x:c>
      <x:c r="K317" s="42" t="str">
        <x:v>Obligatoire</x:v>
      </x:c>
      <x:c r="L317" s="42" t="str">
        <x:v>Non exécuté</x:v>
      </x:c>
      <x:c r="M317" s="42" t="str"/>
    </x:row>
    <x:row r="318">
      <x:c r="A318" s="42" t="str">
        <x:v>TC-DB-016-NOM</x:v>
      </x:c>
      <x:c r="B318" s="42" t="str">
        <x:v>DB-016</x:v>
      </x:c>
      <x:c r="C318" s="42" t="str">
        <x:v>US-DB-016</x:v>
      </x:c>
      <x:c r="D318" s="42" t="str">
        <x:v>PostgreSQL et données</x:v>
      </x:c>
      <x:c r="E318" s="42" t="str">
        <x:v>Nominal</x:v>
      </x:c>
      <x:c r="F318" s="42" t="str">
        <x:v>Utilisateur authentifié, autorisé et données valides.</x:v>
      </x:c>
      <x:c r="G318" s="42" t="str">
        <x:v>1. Préparer les données. 2. Exécuter : Assurer la réversibilité PostgreSQL complète. 3. Consulter le résultat et l’audit.</x:v>
      </x:c>
      <x:c r="H318" s="42" t="str">
        <x:v>Exports SQL et formats ouverts, schéma, dictionnaire, migrations, pièces et contrôles d’intégrité sont remis au CNPM.</x:v>
      </x:c>
      <x:c r="I318" s="42" t="str">
        <x:v>Critique</x:v>
      </x:c>
      <x:c r="J318" s="42" t="str">
        <x:v>Synthétique valide</x:v>
      </x:c>
      <x:c r="K318" s="42" t="str">
        <x:v>À automatiser</x:v>
      </x:c>
      <x:c r="L318" s="42" t="str">
        <x:v>Non exécuté</x:v>
      </x:c>
      <x:c r="M318" s="42" t="str"/>
    </x:row>
    <x:row r="319">
      <x:c r="A319" s="42" t="str">
        <x:v>TC-DB-016-CTRL</x:v>
      </x:c>
      <x:c r="B319" s="42" t="str">
        <x:v>DB-016</x:v>
      </x:c>
      <x:c r="C319" s="42" t="str">
        <x:v>US-DB-016</x:v>
      </x:c>
      <x:c r="D319" s="42" t="str">
        <x:v>PostgreSQL et données</x:v>
      </x:c>
      <x:c r="E319" s="42" t="str">
        <x:v>Contrôle négatif</x:v>
      </x:c>
      <x:c r="F319" s="42" t="str">
        <x:v>Utilisateur non autorisé ou donnée invalide.</x:v>
      </x:c>
      <x:c r="G319" s="42" t="str">
        <x:v>1. Préparer un cas invalide. 2. Tenter l’opération. 3. Vérifier refus, message et absence d’effet secondaire.</x:v>
      </x:c>
      <x:c r="H319" s="42" t="str">
        <x:v>L’opération est refusée de manière sûre, sans altération des données, avec erreur corrélée et audit si applicable.</x:v>
      </x:c>
      <x:c r="I319" s="42" t="str">
        <x:v>Critique</x:v>
      </x:c>
      <x:c r="J319" s="42" t="str">
        <x:v>Synthétique invalide</x:v>
      </x:c>
      <x:c r="K319" s="42" t="str">
        <x:v>À automatiser</x:v>
      </x:c>
      <x:c r="L319" s="42" t="str">
        <x:v>Non exécuté</x:v>
      </x:c>
      <x:c r="M319" s="42" t="str"/>
    </x:row>
    <x:row r="320">
      <x:c r="A320" s="42" t="str">
        <x:v>TC-DB-016-CRIT</x:v>
      </x:c>
      <x:c r="B320" s="42" t="str">
        <x:v>DB-016</x:v>
      </x:c>
      <x:c r="C320" s="42" t="str">
        <x:v>US-DB-016</x:v>
      </x:c>
      <x:c r="D320" s="42" t="str">
        <x:v>PostgreSQL et données</x:v>
      </x:c>
      <x:c r="E320" s="42" t="str">
        <x:v>Critique / répétition</x:v>
      </x:c>
      <x:c r="F320" s="42" t="str">
        <x:v>Même requête rejouée ou opérations concurrentes.</x:v>
      </x:c>
      <x:c r="G320" s="42" t="str">
        <x:v>1. Exécuter l’opération. 2. Rejouer avec la même clé ou en concurrence. 3. Contrôler PostgreSQL et l’audit.</x:v>
      </x:c>
      <x:c r="H320" s="42" t="str">
        <x:v>Un seul effet métier est produit ; aucune double écriture, aucun contournement de permission et aucune incohérence.</x:v>
      </x:c>
      <x:c r="I320" s="42" t="str">
        <x:v>Critique</x:v>
      </x:c>
      <x:c r="J320" s="42" t="str">
        <x:v>Synthétique concurrence</x:v>
      </x:c>
      <x:c r="K320" s="42" t="str">
        <x:v>Obligatoire</x:v>
      </x:c>
      <x:c r="L320" s="42" t="str">
        <x:v>Non exécuté</x:v>
      </x:c>
      <x:c r="M320" s="42" t="str"/>
    </x:row>
    <x:row r="321">
      <x:c r="A321" s="42" t="str">
        <x:v>TC-TEC-001-NOM</x:v>
      </x:c>
      <x:c r="B321" s="42" t="str">
        <x:v>TEC-001</x:v>
      </x:c>
      <x:c r="C321" s="42" t="str">
        <x:v>US-TEC-001</x:v>
      </x:c>
      <x:c r="D321" s="42" t="str">
        <x:v>Architecture technique et exploitation</x:v>
      </x:c>
      <x:c r="E321" s="42" t="str">
        <x:v>Nominal</x:v>
      </x:c>
      <x:c r="F321" s="42" t="str">
        <x:v>Utilisateur authentifié, autorisé et données valides.</x:v>
      </x:c>
      <x:c r="G321" s="42" t="str">
        <x:v>1. Préparer les données. 2. Exécuter : Démontrer que PostgreSQL est l'unique source de vérité relationnelle. 3. Consulter le résultat et l’audit.</x:v>
      </x:c>
      <x:c r="H321" s="42" t="str">
        <x:v>Inventaire des stockages et test de reprise prouvent qu'aucune donnée métier ne dépend uniquement d'un cache ou broker.</x:v>
      </x:c>
      <x:c r="I321" s="42" t="str">
        <x:v>Critique</x:v>
      </x:c>
      <x:c r="J321" s="42" t="str">
        <x:v>Synthétique valide</x:v>
      </x:c>
      <x:c r="K321" s="42" t="str">
        <x:v>À automatiser</x:v>
      </x:c>
      <x:c r="L321" s="42" t="str">
        <x:v>Non exécuté</x:v>
      </x:c>
      <x:c r="M321" s="42" t="str"/>
    </x:row>
    <x:row r="322">
      <x:c r="A322" s="42" t="str">
        <x:v>TC-TEC-001-CTRL</x:v>
      </x:c>
      <x:c r="B322" s="42" t="str">
        <x:v>TEC-001</x:v>
      </x:c>
      <x:c r="C322" s="42" t="str">
        <x:v>US-TEC-001</x:v>
      </x:c>
      <x:c r="D322" s="42" t="str">
        <x:v>Architecture technique et exploitation</x:v>
      </x:c>
      <x:c r="E322" s="42" t="str">
        <x:v>Contrôle négatif</x:v>
      </x:c>
      <x:c r="F322" s="42" t="str">
        <x:v>Utilisateur non autorisé ou donnée invalide.</x:v>
      </x:c>
      <x:c r="G322" s="42" t="str">
        <x:v>1. Préparer un cas invalide. 2. Tenter l’opération. 3. Vérifier refus, message et absence d’effet secondaire.</x:v>
      </x:c>
      <x:c r="H322" s="42" t="str">
        <x:v>L’opération est refusée de manière sûre, sans altération des données, avec erreur corrélée et audit si applicable.</x:v>
      </x:c>
      <x:c r="I322" s="42" t="str">
        <x:v>Haute</x:v>
      </x:c>
      <x:c r="J322" s="42" t="str">
        <x:v>Synthétique invalide</x:v>
      </x:c>
      <x:c r="K322" s="42" t="str">
        <x:v>À automatiser</x:v>
      </x:c>
      <x:c r="L322" s="42" t="str">
        <x:v>Non exécuté</x:v>
      </x:c>
      <x:c r="M322" s="42" t="str"/>
    </x:row>
    <x:row r="323">
      <x:c r="A323" s="42" t="str">
        <x:v>TC-TEC-002-NOM</x:v>
      </x:c>
      <x:c r="B323" s="42" t="str">
        <x:v>TEC-002</x:v>
      </x:c>
      <x:c r="C323" s="42" t="str">
        <x:v>US-TEC-002</x:v>
      </x:c>
      <x:c r="D323" s="42" t="str">
        <x:v>Architecture technique et exploitation</x:v>
      </x:c>
      <x:c r="E323" s="42" t="str">
        <x:v>Nominal</x:v>
      </x:c>
      <x:c r="F323" s="42" t="str">
        <x:v>Utilisateur authentifié, autorisé et données valides.</x:v>
      </x:c>
      <x:c r="G323" s="42" t="str">
        <x:v>1. Préparer les données. 2. Exécuter : Fournir la matrice complète des versions, licences, CVE et fins de support. 3. Consulter le résultat et l’audit.</x:v>
      </x:c>
      <x:c r="H323" s="42" t="str">
        <x:v>Aucun composant en fin de vie ou sans correctif de sécurité dans la version candidate.</x:v>
      </x:c>
      <x:c r="I323" s="42" t="str">
        <x:v>Critique</x:v>
      </x:c>
      <x:c r="J323" s="42" t="str">
        <x:v>Synthétique valide</x:v>
      </x:c>
      <x:c r="K323" s="42" t="str">
        <x:v>À automatiser</x:v>
      </x:c>
      <x:c r="L323" s="42" t="str">
        <x:v>Non exécuté</x:v>
      </x:c>
      <x:c r="M323" s="42" t="str"/>
    </x:row>
    <x:row r="324">
      <x:c r="A324" s="42" t="str">
        <x:v>TC-TEC-002-CTRL</x:v>
      </x:c>
      <x:c r="B324" s="42" t="str">
        <x:v>TEC-002</x:v>
      </x:c>
      <x:c r="C324" s="42" t="str">
        <x:v>US-TEC-002</x:v>
      </x:c>
      <x:c r="D324" s="42" t="str">
        <x:v>Architecture technique et exploitation</x:v>
      </x:c>
      <x:c r="E324" s="42" t="str">
        <x:v>Contrôle négatif</x:v>
      </x:c>
      <x:c r="F324" s="42" t="str">
        <x:v>Utilisateur non autorisé ou donnée invalide.</x:v>
      </x:c>
      <x:c r="G324" s="42" t="str">
        <x:v>1. Préparer un cas invalide. 2. Tenter l’opération. 3. Vérifier refus, message et absence d’effet secondaire.</x:v>
      </x:c>
      <x:c r="H324" s="42" t="str">
        <x:v>L’opération est refusée de manière sûre, sans altération des données, avec erreur corrélée et audit si applicable.</x:v>
      </x:c>
      <x:c r="I324" s="42" t="str">
        <x:v>Haute</x:v>
      </x:c>
      <x:c r="J324" s="42" t="str">
        <x:v>Synthétique invalide</x:v>
      </x:c>
      <x:c r="K324" s="42" t="str">
        <x:v>À automatiser</x:v>
      </x:c>
      <x:c r="L324" s="42" t="str">
        <x:v>Non exécuté</x:v>
      </x:c>
      <x:c r="M324" s="42" t="str"/>
    </x:row>
    <x:row r="325">
      <x:c r="A325" s="42" t="str">
        <x:v>TC-TEC-003-NOM</x:v>
      </x:c>
      <x:c r="B325" s="42" t="str">
        <x:v>TEC-003</x:v>
      </x:c>
      <x:c r="C325" s="42" t="str">
        <x:v>US-TEC-003</x:v>
      </x:c>
      <x:c r="D325" s="42" t="str">
        <x:v>Architecture technique et exploitation</x:v>
      </x:c>
      <x:c r="E325" s="42" t="str">
        <x:v>Nominal</x:v>
      </x:c>
      <x:c r="F325" s="42" t="str">
        <x:v>Utilisateur authentifié, autorisé et données valides.</x:v>
      </x:c>
      <x:c r="G325" s="42" t="str">
        <x:v>1. Préparer les données. 2. Exécuter : Interdire tout accès direct des applications clientes à PostgreSQL. 3. Consulter le résultat et l’audit.</x:v>
      </x:c>
      <x:c r="H325" s="42" t="str">
        <x:v>Web et mobile passent exclusivement par les API authentifiées et autorisées.</x:v>
      </x:c>
      <x:c r="I325" s="42" t="str">
        <x:v>Critique</x:v>
      </x:c>
      <x:c r="J325" s="42" t="str">
        <x:v>Synthétique valide</x:v>
      </x:c>
      <x:c r="K325" s="42" t="str">
        <x:v>À automatiser</x:v>
      </x:c>
      <x:c r="L325" s="42" t="str">
        <x:v>Non exécuté</x:v>
      </x:c>
      <x:c r="M325" s="42" t="str"/>
    </x:row>
    <x:row r="326">
      <x:c r="A326" s="42" t="str">
        <x:v>TC-TEC-003-CTRL</x:v>
      </x:c>
      <x:c r="B326" s="42" t="str">
        <x:v>TEC-003</x:v>
      </x:c>
      <x:c r="C326" s="42" t="str">
        <x:v>US-TEC-003</x:v>
      </x:c>
      <x:c r="D326" s="42" t="str">
        <x:v>Architecture technique et exploitation</x:v>
      </x:c>
      <x:c r="E326" s="42" t="str">
        <x:v>Contrôle négatif</x:v>
      </x:c>
      <x:c r="F326" s="42" t="str">
        <x:v>Utilisateur non autorisé ou donnée invalide.</x:v>
      </x:c>
      <x:c r="G326" s="42" t="str">
        <x:v>1. Préparer un cas invalide. 2. Tenter l’opération. 3. Vérifier refus, message et absence d’effet secondaire.</x:v>
      </x:c>
      <x:c r="H326" s="42" t="str">
        <x:v>L’opération est refusée de manière sûre, sans altération des données, avec erreur corrélée et audit si applicable.</x:v>
      </x:c>
      <x:c r="I326" s="42" t="str">
        <x:v>Haute</x:v>
      </x:c>
      <x:c r="J326" s="42" t="str">
        <x:v>Synthétique invalide</x:v>
      </x:c>
      <x:c r="K326" s="42" t="str">
        <x:v>À automatiser</x:v>
      </x:c>
      <x:c r="L326" s="42" t="str">
        <x:v>Non exécuté</x:v>
      </x:c>
      <x:c r="M326" s="42" t="str"/>
    </x:row>
    <x:row r="327">
      <x:c r="A327" s="42" t="str">
        <x:v>TC-TEC-004-NOM</x:v>
      </x:c>
      <x:c r="B327" s="42" t="str">
        <x:v>TEC-004</x:v>
      </x:c>
      <x:c r="C327" s="42" t="str">
        <x:v>US-TEC-004</x:v>
      </x:c>
      <x:c r="D327" s="42" t="str">
        <x:v>Architecture technique et exploitation</x:v>
      </x:c>
      <x:c r="E327" s="42" t="str">
        <x:v>Nominal</x:v>
      </x:c>
      <x:c r="F327" s="42" t="str">
        <x:v>Utilisateur authentifié, autorisé et données valides.</x:v>
      </x:c>
      <x:c r="G327" s="42" t="str">
        <x:v>1. Préparer les données. 2. Exécuter : Reproduire un environnement depuis le code et les artefacts versionnés. 3. Consulter le résultat et l’audit.</x:v>
      </x:c>
      <x:c r="H327" s="42" t="str">
        <x:v>Installation automatisée sur environnement vierge avec résultat documenté.</x:v>
      </x:c>
      <x:c r="I327" s="42" t="str">
        <x:v>Critique</x:v>
      </x:c>
      <x:c r="J327" s="42" t="str">
        <x:v>Synthétique valide</x:v>
      </x:c>
      <x:c r="K327" s="42" t="str">
        <x:v>À automatiser</x:v>
      </x:c>
      <x:c r="L327" s="42" t="str">
        <x:v>Non exécuté</x:v>
      </x:c>
      <x:c r="M327" s="42" t="str"/>
    </x:row>
    <x:row r="328">
      <x:c r="A328" s="42" t="str">
        <x:v>TC-TEC-004-CTRL</x:v>
      </x:c>
      <x:c r="B328" s="42" t="str">
        <x:v>TEC-004</x:v>
      </x:c>
      <x:c r="C328" s="42" t="str">
        <x:v>US-TEC-004</x:v>
      </x:c>
      <x:c r="D328" s="42" t="str">
        <x:v>Architecture technique et exploitation</x:v>
      </x:c>
      <x:c r="E328" s="42" t="str">
        <x:v>Contrôle négatif</x:v>
      </x:c>
      <x:c r="F328" s="42" t="str">
        <x:v>Utilisateur non autorisé ou donnée invalide.</x:v>
      </x:c>
      <x:c r="G328" s="42" t="str">
        <x:v>1. Préparer un cas invalide. 2. Tenter l’opération. 3. Vérifier refus, message et absence d’effet secondaire.</x:v>
      </x:c>
      <x:c r="H328" s="42" t="str">
        <x:v>L’opération est refusée de manière sûre, sans altération des données, avec erreur corrélée et audit si applicable.</x:v>
      </x:c>
      <x:c r="I328" s="42" t="str">
        <x:v>Haute</x:v>
      </x:c>
      <x:c r="J328" s="42" t="str">
        <x:v>Synthétique invalide</x:v>
      </x:c>
      <x:c r="K328" s="42" t="str">
        <x:v>À automatiser</x:v>
      </x:c>
      <x:c r="L328" s="42" t="str">
        <x:v>Non exécuté</x:v>
      </x:c>
      <x:c r="M328" s="42" t="str"/>
    </x:row>
    <x:row r="329">
      <x:c r="A329" s="42" t="str">
        <x:v>TC-TEC-005-NOM</x:v>
      </x:c>
      <x:c r="B329" s="42" t="str">
        <x:v>TEC-005</x:v>
      </x:c>
      <x:c r="C329" s="42" t="str">
        <x:v>US-TEC-005</x:v>
      </x:c>
      <x:c r="D329" s="42" t="str">
        <x:v>Architecture technique et exploitation</x:v>
      </x:c>
      <x:c r="E329" s="42" t="str">
        <x:v>Nominal</x:v>
      </x:c>
      <x:c r="F329" s="42" t="str">
        <x:v>Utilisateur authentifié, autorisé et données valides.</x:v>
      </x:c>
      <x:c r="G329" s="42" t="str">
        <x:v>1. Préparer les données. 2. Exécuter : Démontrer SSO, 2FA et séparation des rôles. 3. Consulter le résultat et l’audit.</x:v>
      </x:c>
      <x:c r="H329" s="42" t="str">
        <x:v>Scénarios positifs/négatifs pour administrateur, finance, agent, auditeur et membre.</x:v>
      </x:c>
      <x:c r="I329" s="42" t="str">
        <x:v>Critique</x:v>
      </x:c>
      <x:c r="J329" s="42" t="str">
        <x:v>Synthétique valide</x:v>
      </x:c>
      <x:c r="K329" s="42" t="str">
        <x:v>À automatiser</x:v>
      </x:c>
      <x:c r="L329" s="42" t="str">
        <x:v>Non exécuté</x:v>
      </x:c>
      <x:c r="M329" s="42" t="str"/>
    </x:row>
    <x:row r="330">
      <x:c r="A330" s="42" t="str">
        <x:v>TC-TEC-005-CTRL</x:v>
      </x:c>
      <x:c r="B330" s="42" t="str">
        <x:v>TEC-005</x:v>
      </x:c>
      <x:c r="C330" s="42" t="str">
        <x:v>US-TEC-005</x:v>
      </x:c>
      <x:c r="D330" s="42" t="str">
        <x:v>Architecture technique et exploitation</x:v>
      </x:c>
      <x:c r="E330" s="42" t="str">
        <x:v>Contrôle négatif</x:v>
      </x:c>
      <x:c r="F330" s="42" t="str">
        <x:v>Utilisateur non autorisé ou donnée invalide.</x:v>
      </x:c>
      <x:c r="G330" s="42" t="str">
        <x:v>1. Préparer un cas invalide. 2. Tenter l’opération. 3. Vérifier refus, message et absence d’effet secondaire.</x:v>
      </x:c>
      <x:c r="H330" s="42" t="str">
        <x:v>L’opération est refusée de manière sûre, sans altération des données, avec erreur corrélée et audit si applicable.</x:v>
      </x:c>
      <x:c r="I330" s="42" t="str">
        <x:v>Haute</x:v>
      </x:c>
      <x:c r="J330" s="42" t="str">
        <x:v>Synthétique invalide</x:v>
      </x:c>
      <x:c r="K330" s="42" t="str">
        <x:v>À automatiser</x:v>
      </x:c>
      <x:c r="L330" s="42" t="str">
        <x:v>Non exécuté</x:v>
      </x:c>
      <x:c r="M330" s="42" t="str"/>
    </x:row>
    <x:row r="331">
      <x:c r="A331" s="42" t="str">
        <x:v>TC-TEC-006-NOM</x:v>
      </x:c>
      <x:c r="B331" s="42" t="str">
        <x:v>TEC-006</x:v>
      </x:c>
      <x:c r="C331" s="42" t="str">
        <x:v>US-TEC-006</x:v>
      </x:c>
      <x:c r="D331" s="42" t="str">
        <x:v>Architecture technique et exploitation</x:v>
      </x:c>
      <x:c r="E331" s="42" t="str">
        <x:v>Nominal</x:v>
      </x:c>
      <x:c r="F331" s="42" t="str">
        <x:v>Utilisateur authentifié, autorisé et données valides.</x:v>
      </x:c>
      <x:c r="G331" s="42" t="str">
        <x:v>1. Préparer les données. 2. Exécuter : Restaurer PostgreSQL à un instant choisi. 3. Consulter le résultat et l’audit.</x:v>
      </x:c>
      <x:c r="H331" s="42" t="str">
        <x:v>RPO/RTO mesurés, contrôles fonctionnels et rapprochement financier après restauration.</x:v>
      </x:c>
      <x:c r="I331" s="42" t="str">
        <x:v>Critique</x:v>
      </x:c>
      <x:c r="J331" s="42" t="str">
        <x:v>Synthétique valide</x:v>
      </x:c>
      <x:c r="K331" s="42" t="str">
        <x:v>À automatiser</x:v>
      </x:c>
      <x:c r="L331" s="42" t="str">
        <x:v>Non exécuté</x:v>
      </x:c>
      <x:c r="M331" s="42" t="str"/>
    </x:row>
    <x:row r="332">
      <x:c r="A332" s="42" t="str">
        <x:v>TC-TEC-006-CTRL</x:v>
      </x:c>
      <x:c r="B332" s="42" t="str">
        <x:v>TEC-006</x:v>
      </x:c>
      <x:c r="C332" s="42" t="str">
        <x:v>US-TEC-006</x:v>
      </x:c>
      <x:c r="D332" s="42" t="str">
        <x:v>Architecture technique et exploitation</x:v>
      </x:c>
      <x:c r="E332" s="42" t="str">
        <x:v>Contrôle négatif</x:v>
      </x:c>
      <x:c r="F332" s="42" t="str">
        <x:v>Utilisateur non autorisé ou donnée invalide.</x:v>
      </x:c>
      <x:c r="G332" s="42" t="str">
        <x:v>1. Préparer un cas invalide. 2. Tenter l’opération. 3. Vérifier refus, message et absence d’effet secondaire.</x:v>
      </x:c>
      <x:c r="H332" s="42" t="str">
        <x:v>L’opération est refusée de manière sûre, sans altération des données, avec erreur corrélée et audit si applicable.</x:v>
      </x:c>
      <x:c r="I332" s="42" t="str">
        <x:v>Haute</x:v>
      </x:c>
      <x:c r="J332" s="42" t="str">
        <x:v>Synthétique invalide</x:v>
      </x:c>
      <x:c r="K332" s="42" t="str">
        <x:v>À automatiser</x:v>
      </x:c>
      <x:c r="L332" s="42" t="str">
        <x:v>Non exécuté</x:v>
      </x:c>
      <x:c r="M332" s="42" t="str"/>
    </x:row>
    <x:row r="333">
      <x:c r="A333" s="42" t="str">
        <x:v>TC-TEC-007-NOM</x:v>
      </x:c>
      <x:c r="B333" s="42" t="str">
        <x:v>TEC-007</x:v>
      </x:c>
      <x:c r="C333" s="42" t="str">
        <x:v>US-TEC-007</x:v>
      </x:c>
      <x:c r="D333" s="42" t="str">
        <x:v>Architecture technique et exploitation</x:v>
      </x:c>
      <x:c r="E333" s="42" t="str">
        <x:v>Nominal</x:v>
      </x:c>
      <x:c r="F333" s="42" t="str">
        <x:v>Utilisateur authentifié, autorisé et données valides.</x:v>
      </x:c>
      <x:c r="G333" s="42" t="str">
        <x:v>1. Préparer les données. 2. Exécuter : Tester la bascule d'un nœud applicatif et de la base. 3. Consulter le résultat et l’audit.</x:v>
      </x:c>
      <x:c r="H333" s="42" t="str">
        <x:v>Aucune perte de transaction confirmée; reprise dans le SLA approuvé.</x:v>
      </x:c>
      <x:c r="I333" s="42" t="str">
        <x:v>Critique</x:v>
      </x:c>
      <x:c r="J333" s="42" t="str">
        <x:v>Synthétique valide</x:v>
      </x:c>
      <x:c r="K333" s="42" t="str">
        <x:v>À automatiser</x:v>
      </x:c>
      <x:c r="L333" s="42" t="str">
        <x:v>Non exécuté</x:v>
      </x:c>
      <x:c r="M333" s="42" t="str"/>
    </x:row>
    <x:row r="334">
      <x:c r="A334" s="42" t="str">
        <x:v>TC-TEC-007-CTRL</x:v>
      </x:c>
      <x:c r="B334" s="42" t="str">
        <x:v>TEC-007</x:v>
      </x:c>
      <x:c r="C334" s="42" t="str">
        <x:v>US-TEC-007</x:v>
      </x:c>
      <x:c r="D334" s="42" t="str">
        <x:v>Architecture technique et exploitation</x:v>
      </x:c>
      <x:c r="E334" s="42" t="str">
        <x:v>Contrôle négatif</x:v>
      </x:c>
      <x:c r="F334" s="42" t="str">
        <x:v>Utilisateur non autorisé ou donnée invalide.</x:v>
      </x:c>
      <x:c r="G334" s="42" t="str">
        <x:v>1. Préparer un cas invalide. 2. Tenter l’opération. 3. Vérifier refus, message et absence d’effet secondaire.</x:v>
      </x:c>
      <x:c r="H334" s="42" t="str">
        <x:v>L’opération est refusée de manière sûre, sans altération des données, avec erreur corrélée et audit si applicable.</x:v>
      </x:c>
      <x:c r="I334" s="42" t="str">
        <x:v>Haute</x:v>
      </x:c>
      <x:c r="J334" s="42" t="str">
        <x:v>Synthétique invalide</x:v>
      </x:c>
      <x:c r="K334" s="42" t="str">
        <x:v>À automatiser</x:v>
      </x:c>
      <x:c r="L334" s="42" t="str">
        <x:v>Non exécuté</x:v>
      </x:c>
      <x:c r="M334" s="42" t="str"/>
    </x:row>
    <x:row r="335">
      <x:c r="A335" s="42" t="str">
        <x:v>TC-TEC-008-NOM</x:v>
      </x:c>
      <x:c r="B335" s="42" t="str">
        <x:v>TEC-008</x:v>
      </x:c>
      <x:c r="C335" s="42" t="str">
        <x:v>US-TEC-008</x:v>
      </x:c>
      <x:c r="D335" s="42" t="str">
        <x:v>Architecture technique et exploitation</x:v>
      </x:c>
      <x:c r="E335" s="42" t="str">
        <x:v>Nominal</x:v>
      </x:c>
      <x:c r="F335" s="42" t="str">
        <x:v>Utilisateur authentifié, autorisé et données valides.</x:v>
      </x:c>
      <x:c r="G335" s="42" t="str">
        <x:v>1. Préparer les données. 2. Exécuter : Valider les performances et la faible connectivité. 3. Consulter le résultat et l’audit.</x:v>
      </x:c>
      <x:c r="H335" s="42" t="str">
        <x:v>Les seuils de la section 17.4 sont atteints sur un jeu de données et une charge représentatifs.</x:v>
      </x:c>
      <x:c r="I335" s="42" t="str">
        <x:v>Critique</x:v>
      </x:c>
      <x:c r="J335" s="42" t="str">
        <x:v>Synthétique valide</x:v>
      </x:c>
      <x:c r="K335" s="42" t="str">
        <x:v>À automatiser</x:v>
      </x:c>
      <x:c r="L335" s="42" t="str">
        <x:v>Non exécuté</x:v>
      </x:c>
      <x:c r="M335" s="42" t="str"/>
    </x:row>
    <x:row r="336">
      <x:c r="A336" s="42" t="str">
        <x:v>TC-TEC-008-CTRL</x:v>
      </x:c>
      <x:c r="B336" s="42" t="str">
        <x:v>TEC-008</x:v>
      </x:c>
      <x:c r="C336" s="42" t="str">
        <x:v>US-TEC-008</x:v>
      </x:c>
      <x:c r="D336" s="42" t="str">
        <x:v>Architecture technique et exploitation</x:v>
      </x:c>
      <x:c r="E336" s="42" t="str">
        <x:v>Contrôle négatif</x:v>
      </x:c>
      <x:c r="F336" s="42" t="str">
        <x:v>Utilisateur non autorisé ou donnée invalide.</x:v>
      </x:c>
      <x:c r="G336" s="42" t="str">
        <x:v>1. Préparer un cas invalide. 2. Tenter l’opération. 3. Vérifier refus, message et absence d’effet secondaire.</x:v>
      </x:c>
      <x:c r="H336" s="42" t="str">
        <x:v>L’opération est refusée de manière sûre, sans altération des données, avec erreur corrélée et audit si applicable.</x:v>
      </x:c>
      <x:c r="I336" s="42" t="str">
        <x:v>Haute</x:v>
      </x:c>
      <x:c r="J336" s="42" t="str">
        <x:v>Synthétique invalide</x:v>
      </x:c>
      <x:c r="K336" s="42" t="str">
        <x:v>À automatiser</x:v>
      </x:c>
      <x:c r="L336" s="42" t="str">
        <x:v>Non exécuté</x:v>
      </x:c>
      <x:c r="M336" s="42" t="str"/>
    </x:row>
    <x:row r="337">
      <x:c r="A337" s="42" t="str">
        <x:v>TC-TEC-009-NOM</x:v>
      </x:c>
      <x:c r="B337" s="42" t="str">
        <x:v>TEC-009</x:v>
      </x:c>
      <x:c r="C337" s="42" t="str">
        <x:v>US-TEC-009</x:v>
      </x:c>
      <x:c r="D337" s="42" t="str">
        <x:v>Architecture technique et exploitation</x:v>
      </x:c>
      <x:c r="E337" s="42" t="str">
        <x:v>Nominal</x:v>
      </x:c>
      <x:c r="F337" s="42" t="str">
        <x:v>Utilisateur authentifié, autorisé et données valides.</x:v>
      </x:c>
      <x:c r="G337" s="42" t="str">
        <x:v>1. Préparer les données. 2. Exécuter : Prouver l'idempotence des paiements et webhooks. 3. Consulter le résultat et l’audit.</x:v>
      </x:c>
      <x:c r="H337" s="42" t="str">
        <x:v>Le même message rejoué plusieurs fois produit un seul effet financier.</x:v>
      </x:c>
      <x:c r="I337" s="42" t="str">
        <x:v>Critique</x:v>
      </x:c>
      <x:c r="J337" s="42" t="str">
        <x:v>Synthétique valide</x:v>
      </x:c>
      <x:c r="K337" s="42" t="str">
        <x:v>À automatiser</x:v>
      </x:c>
      <x:c r="L337" s="42" t="str">
        <x:v>Non exécuté</x:v>
      </x:c>
      <x:c r="M337" s="42" t="str"/>
    </x:row>
    <x:row r="338">
      <x:c r="A338" s="42" t="str">
        <x:v>TC-TEC-009-CTRL</x:v>
      </x:c>
      <x:c r="B338" s="42" t="str">
        <x:v>TEC-009</x:v>
      </x:c>
      <x:c r="C338" s="42" t="str">
        <x:v>US-TEC-009</x:v>
      </x:c>
      <x:c r="D338" s="42" t="str">
        <x:v>Architecture technique et exploitation</x:v>
      </x:c>
      <x:c r="E338" s="42" t="str">
        <x:v>Contrôle négatif</x:v>
      </x:c>
      <x:c r="F338" s="42" t="str">
        <x:v>Utilisateur non autorisé ou donnée invalide.</x:v>
      </x:c>
      <x:c r="G338" s="42" t="str">
        <x:v>1. Préparer un cas invalide. 2. Tenter l’opération. 3. Vérifier refus, message et absence d’effet secondaire.</x:v>
      </x:c>
      <x:c r="H338" s="42" t="str">
        <x:v>L’opération est refusée de manière sûre, sans altération des données, avec erreur corrélée et audit si applicable.</x:v>
      </x:c>
      <x:c r="I338" s="42" t="str">
        <x:v>Haute</x:v>
      </x:c>
      <x:c r="J338" s="42" t="str">
        <x:v>Synthétique invalide</x:v>
      </x:c>
      <x:c r="K338" s="42" t="str">
        <x:v>À automatiser</x:v>
      </x:c>
      <x:c r="L338" s="42" t="str">
        <x:v>Non exécuté</x:v>
      </x:c>
      <x:c r="M338" s="42" t="str"/>
    </x:row>
    <x:row r="339">
      <x:c r="A339" s="42" t="str">
        <x:v>TC-TEC-010-NOM</x:v>
      </x:c>
      <x:c r="B339" s="42" t="str">
        <x:v>TEC-010</x:v>
      </x:c>
      <x:c r="C339" s="42" t="str">
        <x:v>US-TEC-010</x:v>
      </x:c>
      <x:c r="D339" s="42" t="str">
        <x:v>Architecture technique et exploitation</x:v>
      </x:c>
      <x:c r="E339" s="42" t="str">
        <x:v>Nominal</x:v>
      </x:c>
      <x:c r="F339" s="42" t="str">
        <x:v>Utilisateur authentifié, autorisé et données valides.</x:v>
      </x:c>
      <x:c r="G339" s="42" t="str">
        <x:v>1. Préparer les données. 2. Exécuter : Corréler logs, métriques et traces. 3. Consulter le résultat et l’audit.</x:v>
      </x:c>
      <x:c r="H339" s="42" t="str">
        <x:v>Une transaction de test est suivie de l'interface jusqu'à PostgreSQL et aux intégrations par correlation_id.</x:v>
      </x:c>
      <x:c r="I339" s="42" t="str">
        <x:v>Haute</x:v>
      </x:c>
      <x:c r="J339" s="42" t="str">
        <x:v>Synthétique valide</x:v>
      </x:c>
      <x:c r="K339" s="42" t="str">
        <x:v>À automatiser</x:v>
      </x:c>
      <x:c r="L339" s="42" t="str">
        <x:v>Non exécuté</x:v>
      </x:c>
      <x:c r="M339" s="42" t="str"/>
    </x:row>
    <x:row r="340">
      <x:c r="A340" s="42" t="str">
        <x:v>TC-TEC-010-CTRL</x:v>
      </x:c>
      <x:c r="B340" s="42" t="str">
        <x:v>TEC-010</x:v>
      </x:c>
      <x:c r="C340" s="42" t="str">
        <x:v>US-TEC-010</x:v>
      </x:c>
      <x:c r="D340" s="42" t="str">
        <x:v>Architecture technique et exploitation</x:v>
      </x:c>
      <x:c r="E340" s="42" t="str">
        <x:v>Contrôle négatif</x:v>
      </x:c>
      <x:c r="F340" s="42" t="str">
        <x:v>Utilisateur non autorisé ou donnée invalide.</x:v>
      </x:c>
      <x:c r="G340" s="42" t="str">
        <x:v>1. Préparer un cas invalide. 2. Tenter l’opération. 3. Vérifier refus, message et absence d’effet secondaire.</x:v>
      </x:c>
      <x:c r="H340" s="42" t="str">
        <x:v>L’opération est refusée de manière sûre, sans altération des données, avec erreur corrélée et audit si applicable.</x:v>
      </x:c>
      <x:c r="I340" s="42" t="str">
        <x:v>Haute</x:v>
      </x:c>
      <x:c r="J340" s="42" t="str">
        <x:v>Synthétique invalide</x:v>
      </x:c>
      <x:c r="K340" s="42" t="str">
        <x:v>À automatiser</x:v>
      </x:c>
      <x:c r="L340" s="42" t="str">
        <x:v>Non exécuté</x:v>
      </x:c>
      <x:c r="M340" s="42" t="str"/>
    </x:row>
    <x:row r="341">
      <x:c r="A341" s="42" t="str">
        <x:v>TC-TEC-011-NOM</x:v>
      </x:c>
      <x:c r="B341" s="42" t="str">
        <x:v>TEC-011</x:v>
      </x:c>
      <x:c r="C341" s="42" t="str">
        <x:v>US-TEC-011</x:v>
      </x:c>
      <x:c r="D341" s="42" t="str">
        <x:v>Architecture technique et exploitation</x:v>
      </x:c>
      <x:c r="E341" s="42" t="str">
        <x:v>Nominal</x:v>
      </x:c>
      <x:c r="F341" s="42" t="str">
        <x:v>Utilisateur authentifié, autorisé et données valides.</x:v>
      </x:c>
      <x:c r="G341" s="42" t="str">
        <x:v>1. Préparer les données. 2. Exécuter : Appliquer les portes de sécurité CI/CD. 3. Consulter le résultat et l’audit.</x:v>
      </x:c>
      <x:c r="H341" s="42" t="str">
        <x:v>Un secret de test, une vulnérabilité critique et un test échoué bloquent effectivement la promotion.</x:v>
      </x:c>
      <x:c r="I341" s="42" t="str">
        <x:v>Critique</x:v>
      </x:c>
      <x:c r="J341" s="42" t="str">
        <x:v>Synthétique valide</x:v>
      </x:c>
      <x:c r="K341" s="42" t="str">
        <x:v>À automatiser</x:v>
      </x:c>
      <x:c r="L341" s="42" t="str">
        <x:v>Non exécuté</x:v>
      </x:c>
      <x:c r="M341" s="42" t="str"/>
    </x:row>
    <x:row r="342">
      <x:c r="A342" s="42" t="str">
        <x:v>TC-TEC-011-CTRL</x:v>
      </x:c>
      <x:c r="B342" s="42" t="str">
        <x:v>TEC-011</x:v>
      </x:c>
      <x:c r="C342" s="42" t="str">
        <x:v>US-TEC-011</x:v>
      </x:c>
      <x:c r="D342" s="42" t="str">
        <x:v>Architecture technique et exploitation</x:v>
      </x:c>
      <x:c r="E342" s="42" t="str">
        <x:v>Contrôle négatif</x:v>
      </x:c>
      <x:c r="F342" s="42" t="str">
        <x:v>Utilisateur non autorisé ou donnée invalide.</x:v>
      </x:c>
      <x:c r="G342" s="42" t="str">
        <x:v>1. Préparer un cas invalide. 2. Tenter l’opération. 3. Vérifier refus, message et absence d’effet secondaire.</x:v>
      </x:c>
      <x:c r="H342" s="42" t="str">
        <x:v>L’opération est refusée de manière sûre, sans altération des données, avec erreur corrélée et audit si applicable.</x:v>
      </x:c>
      <x:c r="I342" s="42" t="str">
        <x:v>Haute</x:v>
      </x:c>
      <x:c r="J342" s="42" t="str">
        <x:v>Synthétique invalide</x:v>
      </x:c>
      <x:c r="K342" s="42" t="str">
        <x:v>À automatiser</x:v>
      </x:c>
      <x:c r="L342" s="42" t="str">
        <x:v>Non exécuté</x:v>
      </x:c>
      <x:c r="M342" s="42" t="str"/>
    </x:row>
    <x:row r="343">
      <x:c r="A343" s="42" t="str">
        <x:v>TC-TEC-012-NOM</x:v>
      </x:c>
      <x:c r="B343" s="42" t="str">
        <x:v>TEC-012</x:v>
      </x:c>
      <x:c r="C343" s="42" t="str">
        <x:v>US-TEC-012</x:v>
      </x:c>
      <x:c r="D343" s="42" t="str">
        <x:v>Architecture technique et exploitation</x:v>
      </x:c>
      <x:c r="E343" s="42" t="str">
        <x:v>Nominal</x:v>
      </x:c>
      <x:c r="F343" s="42" t="str">
        <x:v>Utilisateur authentifié, autorisé et données valides.</x:v>
      </x:c>
      <x:c r="G343" s="42" t="str">
        <x:v>1. Préparer les données. 2. Exécuter : Exécuter un exercice de réversibilité. 3. Consulter le résultat et l’audit.</x:v>
      </x:c>
      <x:c r="H343" s="42" t="str">
        <x:v>Code, images, configuration, schéma, migrations, données et pièces sont exportés puis réinstallés sous contrôle CNPM.</x:v>
      </x:c>
      <x:c r="I343" s="42" t="str">
        <x:v>Critique</x:v>
      </x:c>
      <x:c r="J343" s="42" t="str">
        <x:v>Synthétique valide</x:v>
      </x:c>
      <x:c r="K343" s="42" t="str">
        <x:v>À automatiser</x:v>
      </x:c>
      <x:c r="L343" s="42" t="str">
        <x:v>Non exécuté</x:v>
      </x:c>
      <x:c r="M343" s="42" t="str"/>
    </x:row>
    <x:row r="344">
      <x:c r="A344" s="42" t="str">
        <x:v>TC-TEC-012-CTRL</x:v>
      </x:c>
      <x:c r="B344" s="42" t="str">
        <x:v>TEC-012</x:v>
      </x:c>
      <x:c r="C344" s="42" t="str">
        <x:v>US-TEC-012</x:v>
      </x:c>
      <x:c r="D344" s="42" t="str">
        <x:v>Architecture technique et exploitation</x:v>
      </x:c>
      <x:c r="E344" s="42" t="str">
        <x:v>Contrôle négatif</x:v>
      </x:c>
      <x:c r="F344" s="42" t="str">
        <x:v>Utilisateur non autorisé ou donnée invalide.</x:v>
      </x:c>
      <x:c r="G344" s="42" t="str">
        <x:v>1. Préparer un cas invalide. 2. Tenter l’opération. 3. Vérifier refus, message et absence d’effet secondaire.</x:v>
      </x:c>
      <x:c r="H344" s="42" t="str">
        <x:v>L’opération est refusée de manière sûre, sans altération des données, avec erreur corrélée et audit si applicable.</x:v>
      </x:c>
      <x:c r="I344" s="42" t="str">
        <x:v>Haute</x:v>
      </x:c>
      <x:c r="J344" s="42" t="str">
        <x:v>Synthétique invalide</x:v>
      </x:c>
      <x:c r="K344" s="42" t="str">
        <x:v>À automatiser</x:v>
      </x:c>
      <x:c r="L344" s="42" t="str">
        <x:v>Non exécuté</x:v>
      </x:c>
      <x:c r="M344" s="42" t="str"/>
    </x:row>
    <x:row r="345">
      <x:c r="A345" s="42" t="str">
        <x:v>TC-RG-001-RULE</x:v>
      </x:c>
      <x:c r="B345" s="42" t="str">
        <x:v>RG-001</x:v>
      </x:c>
      <x:c r="C345" s="42" t="str">
        <x:v>TRANSVERSE</x:v>
      </x:c>
      <x:c r="D345" s="42" t="str">
        <x:v>Règles métier transverses</x:v>
      </x:c>
      <x:c r="E345" s="42" t="str">
        <x:v>Règle métier</x:v>
      </x:c>
      <x:c r="F345" s="42" t="str">
        <x:v>Jeu de données synthétique couvrant la règle et ses contrôles associés.</x:v>
      </x:c>
      <x:c r="G345" s="42" t="str">
        <x:v>1. Préparer le contexte métier. 2. Exécuter le parcours concerné. 3. Vérifier la règle : Le CNPM est propriétaire exclusif des données et peut en obtenir une copie complète à tout moment. 4. Contrôler l’audit et l’absence d’effet secondaire.</x:v>
      </x:c>
      <x:c r="H345" s="42" t="str">
        <x:v>La règle RG-001 est appliquée de façon cohérente sur tous les modules concernés, avec preuve d’audit lorsqu’elle porte sur une opération sensible.</x:v>
      </x:c>
      <x:c r="I345" s="42" t="str">
        <x:v>Critique</x:v>
      </x:c>
      <x:c r="J345" s="42" t="str">
        <x:v>Synthétique transverse</x:v>
      </x:c>
      <x:c r="K345" s="42" t="str">
        <x:v>À automatiser</x:v>
      </x:c>
      <x:c r="L345" s="42" t="str">
        <x:v>Non exécuté</x:v>
      </x:c>
      <x:c r="M345" s="42" t="str"/>
    </x:row>
    <x:row r="346">
      <x:c r="A346" s="42" t="str">
        <x:v>TC-RG-002-RULE</x:v>
      </x:c>
      <x:c r="B346" s="42" t="str">
        <x:v>RG-002</x:v>
      </x:c>
      <x:c r="C346" s="42" t="str">
        <x:v>TRANSVERSE</x:v>
      </x:c>
      <x:c r="D346" s="42" t="str">
        <x:v>Règles métier transverses</x:v>
      </x:c>
      <x:c r="E346" s="42" t="str">
        <x:v>Règle métier</x:v>
      </x:c>
      <x:c r="F346" s="42" t="str">
        <x:v>Jeu de données synthétique couvrant la règle et ses contrôles associés.</x:v>
      </x:c>
      <x:c r="G346" s="42" t="str">
        <x:v>1. Préparer le contexte métier. 2. Exécuter le parcours concerné. 3. Vérifier la règle : Une entreprise ne peut disposer que d’un compte membre actif par personnalité juridique. 4. Contrôler l’audit et l’absence d’effet secondaire.</x:v>
      </x:c>
      <x:c r="H346" s="42" t="str">
        <x:v>La règle RG-002 est appliquée de façon cohérente sur tous les modules concernés, avec preuve d’audit lorsqu’elle porte sur une opération sensible.</x:v>
      </x:c>
      <x:c r="I346" s="42" t="str">
        <x:v>Critique</x:v>
      </x:c>
      <x:c r="J346" s="42" t="str">
        <x:v>Synthétique transverse</x:v>
      </x:c>
      <x:c r="K346" s="42" t="str">
        <x:v>À automatiser</x:v>
      </x:c>
      <x:c r="L346" s="42" t="str">
        <x:v>Non exécuté</x:v>
      </x:c>
      <x:c r="M346" s="42" t="str"/>
    </x:row>
    <x:row r="347">
      <x:c r="A347" s="42" t="str">
        <x:v>TC-RG-003-RULE</x:v>
      </x:c>
      <x:c r="B347" s="42" t="str">
        <x:v>RG-003</x:v>
      </x:c>
      <x:c r="C347" s="42" t="str">
        <x:v>TRANSVERSE</x:v>
      </x:c>
      <x:c r="D347" s="42" t="str">
        <x:v>Règles métier transverses</x:v>
      </x:c>
      <x:c r="E347" s="42" t="str">
        <x:v>Règle métier</x:v>
      </x:c>
      <x:c r="F347" s="42" t="str">
        <x:v>Jeu de données synthétique couvrant la règle et ses contrôles associés.</x:v>
      </x:c>
      <x:c r="G347" s="42" t="str">
        <x:v>1. Préparer le contexte métier. 2. Exécuter le parcours concerné. 3. Vérifier la règle : Tout changement de NIF, RCCM, représentant légal ou coordonnées de paiement est une opération sensible. 4. Contrôler l’audit et l’absence d’effet secondaire.</x:v>
      </x:c>
      <x:c r="H347" s="42" t="str">
        <x:v>La règle RG-003 est appliquée de façon cohérente sur tous les modules concernés, avec preuve d’audit lorsqu’elle porte sur une opération sensible.</x:v>
      </x:c>
      <x:c r="I347" s="42" t="str">
        <x:v>Critique</x:v>
      </x:c>
      <x:c r="J347" s="42" t="str">
        <x:v>Synthétique transverse</x:v>
      </x:c>
      <x:c r="K347" s="42" t="str">
        <x:v>À automatiser</x:v>
      </x:c>
      <x:c r="L347" s="42" t="str">
        <x:v>Non exécuté</x:v>
      </x:c>
      <x:c r="M347" s="42" t="str"/>
    </x:row>
    <x:row r="348">
      <x:c r="A348" s="42" t="str">
        <x:v>TC-RG-004-RULE</x:v>
      </x:c>
      <x:c r="B348" s="42" t="str">
        <x:v>RG-004</x:v>
      </x:c>
      <x:c r="C348" s="42" t="str">
        <x:v>TRANSVERSE</x:v>
      </x:c>
      <x:c r="D348" s="42" t="str">
        <x:v>Règles métier transverses</x:v>
      </x:c>
      <x:c r="E348" s="42" t="str">
        <x:v>Règle métier</x:v>
      </x:c>
      <x:c r="F348" s="42" t="str">
        <x:v>Jeu de données synthétique couvrant la règle et ses contrôles associés.</x:v>
      </x:c>
      <x:c r="G348" s="42" t="str">
        <x:v>1. Préparer le contexte métier. 2. Exécuter le parcours concerné. 3. Vérifier la règle : Un appel de cotisation publié ne peut être supprimé; il peut être annulé ou ajusté par écriture compensatrice. 4. Contrôler l’audit et l’absence d’effet secondaire.</x:v>
      </x:c>
      <x:c r="H348" s="42" t="str">
        <x:v>La règle RG-004 est appliquée de façon cohérente sur tous les modules concernés, avec preuve d’audit lorsqu’elle porte sur une opération sensible.</x:v>
      </x:c>
      <x:c r="I348" s="42" t="str">
        <x:v>Critique</x:v>
      </x:c>
      <x:c r="J348" s="42" t="str">
        <x:v>Synthétique transverse</x:v>
      </x:c>
      <x:c r="K348" s="42" t="str">
        <x:v>À automatiser</x:v>
      </x:c>
      <x:c r="L348" s="42" t="str">
        <x:v>Non exécuté</x:v>
      </x:c>
      <x:c r="M348" s="42" t="str"/>
    </x:row>
    <x:row r="349">
      <x:c r="A349" s="42" t="str">
        <x:v>TC-RG-005-RULE</x:v>
      </x:c>
      <x:c r="B349" s="42" t="str">
        <x:v>RG-005</x:v>
      </x:c>
      <x:c r="C349" s="42" t="str">
        <x:v>TRANSVERSE</x:v>
      </x:c>
      <x:c r="D349" s="42" t="str">
        <x:v>Règles métier transverses</x:v>
      </x:c>
      <x:c r="E349" s="42" t="str">
        <x:v>Règle métier</x:v>
      </x:c>
      <x:c r="F349" s="42" t="str">
        <x:v>Jeu de données synthétique couvrant la règle et ses contrôles associés.</x:v>
      </x:c>
      <x:c r="G349" s="42" t="str">
        <x:v>1. Préparer le contexte métier. 2. Exécuter le parcours concerné. 3. Vérifier la règle : Un reçu officiel n’est émis qu’après confirmation du paiement par le CNPM. 4. Contrôler l’audit et l’absence d’effet secondaire.</x:v>
      </x:c>
      <x:c r="H349" s="42" t="str">
        <x:v>La règle RG-005 est appliquée de façon cohérente sur tous les modules concernés, avec preuve d’audit lorsqu’elle porte sur une opération sensible.</x:v>
      </x:c>
      <x:c r="I349" s="42" t="str">
        <x:v>Critique</x:v>
      </x:c>
      <x:c r="J349" s="42" t="str">
        <x:v>Synthétique transverse</x:v>
      </x:c>
      <x:c r="K349" s="42" t="str">
        <x:v>À automatiser</x:v>
      </x:c>
      <x:c r="L349" s="42" t="str">
        <x:v>Non exécuté</x:v>
      </x:c>
      <x:c r="M349" s="42" t="str"/>
    </x:row>
    <x:row r="350">
      <x:c r="A350" s="42" t="str">
        <x:v>TC-RG-006-RULE</x:v>
      </x:c>
      <x:c r="B350" s="42" t="str">
        <x:v>RG-006</x:v>
      </x:c>
      <x:c r="C350" s="42" t="str">
        <x:v>TRANSVERSE</x:v>
      </x:c>
      <x:c r="D350" s="42" t="str">
        <x:v>Règles métier transverses</x:v>
      </x:c>
      <x:c r="E350" s="42" t="str">
        <x:v>Règle métier</x:v>
      </x:c>
      <x:c r="F350" s="42" t="str">
        <x:v>Jeu de données synthétique couvrant la règle et ses contrôles associés.</x:v>
      </x:c>
      <x:c r="G350" s="42" t="str">
        <x:v>1. Préparer le contexte métier. 2. Exécuter le parcours concerné. 3. Vérifier la règle : Toute annulation, remise, remboursement ou correction exige un motif et une autorisation adaptée. 4. Contrôler l’audit et l’absence d’effet secondaire.</x:v>
      </x:c>
      <x:c r="H350" s="42" t="str">
        <x:v>La règle RG-006 est appliquée de façon cohérente sur tous les modules concernés, avec preuve d’audit lorsqu’elle porte sur une opération sensible.</x:v>
      </x:c>
      <x:c r="I350" s="42" t="str">
        <x:v>Critique</x:v>
      </x:c>
      <x:c r="J350" s="42" t="str">
        <x:v>Synthétique transverse</x:v>
      </x:c>
      <x:c r="K350" s="42" t="str">
        <x:v>À automatiser</x:v>
      </x:c>
      <x:c r="L350" s="42" t="str">
        <x:v>Non exécuté</x:v>
      </x:c>
      <x:c r="M350" s="42" t="str"/>
    </x:row>
    <x:row r="351">
      <x:c r="A351" s="42" t="str">
        <x:v>TC-RG-007-RULE</x:v>
      </x:c>
      <x:c r="B351" s="42" t="str">
        <x:v>RG-007</x:v>
      </x:c>
      <x:c r="C351" s="42" t="str">
        <x:v>TRANSVERSE</x:v>
      </x:c>
      <x:c r="D351" s="42" t="str">
        <x:v>Règles métier transverses</x:v>
      </x:c>
      <x:c r="E351" s="42" t="str">
        <x:v>Règle métier</x:v>
      </x:c>
      <x:c r="F351" s="42" t="str">
        <x:v>Jeu de données synthétique couvrant la règle et ses contrôles associés.</x:v>
      </x:c>
      <x:c r="G351" s="42" t="str">
        <x:v>1. Préparer le contexte métier. 2. Exécuter le parcours concerné. 3. Vérifier la règle : Une transaction externe est traitée de manière idempotente : un même identifiant ne peut être comptabilisé deux fois. 4. Contrôler l’audit et l’absence d’effet secondaire.</x:v>
      </x:c>
      <x:c r="H351" s="42" t="str">
        <x:v>La règle RG-007 est appliquée de façon cohérente sur tous les modules concernés, avec preuve d’audit lorsqu’elle porte sur une opération sensible.</x:v>
      </x:c>
      <x:c r="I351" s="42" t="str">
        <x:v>Critique</x:v>
      </x:c>
      <x:c r="J351" s="42" t="str">
        <x:v>Synthétique transverse</x:v>
      </x:c>
      <x:c r="K351" s="42" t="str">
        <x:v>À automatiser</x:v>
      </x:c>
      <x:c r="L351" s="42" t="str">
        <x:v>Non exécuté</x:v>
      </x:c>
      <x:c r="M351" s="42" t="str"/>
    </x:row>
    <x:row r="352">
      <x:c r="A352" s="42" t="str">
        <x:v>TC-RG-008-RULE</x:v>
      </x:c>
      <x:c r="B352" s="42" t="str">
        <x:v>RG-008</x:v>
      </x:c>
      <x:c r="C352" s="42" t="str">
        <x:v>TRANSVERSE</x:v>
      </x:c>
      <x:c r="D352" s="42" t="str">
        <x:v>Règles métier transverses</x:v>
      </x:c>
      <x:c r="E352" s="42" t="str">
        <x:v>Règle métier</x:v>
      </x:c>
      <x:c r="F352" s="42" t="str">
        <x:v>Jeu de données synthétique couvrant la règle et ses contrôles associés.</x:v>
      </x:c>
      <x:c r="G352" s="42" t="str">
        <x:v>1. Préparer le contexte métier. 2. Exécuter le parcours concerné. 3. Vérifier la règle : Un paiement non rapproché ne réduit pas le solde officiel du membre. 4. Contrôler l’audit et l’absence d’effet secondaire.</x:v>
      </x:c>
      <x:c r="H352" s="42" t="str">
        <x:v>La règle RG-008 est appliquée de façon cohérente sur tous les modules concernés, avec preuve d’audit lorsqu’elle porte sur une opération sensible.</x:v>
      </x:c>
      <x:c r="I352" s="42" t="str">
        <x:v>Critique</x:v>
      </x:c>
      <x:c r="J352" s="42" t="str">
        <x:v>Synthétique transverse</x:v>
      </x:c>
      <x:c r="K352" s="42" t="str">
        <x:v>À automatiser</x:v>
      </x:c>
      <x:c r="L352" s="42" t="str">
        <x:v>Non exécuté</x:v>
      </x:c>
      <x:c r="M352" s="42" t="str"/>
    </x:row>
    <x:row r="353">
      <x:c r="A353" s="42" t="str">
        <x:v>TC-RG-009-RULE</x:v>
      </x:c>
      <x:c r="B353" s="42" t="str">
        <x:v>RG-009</x:v>
      </x:c>
      <x:c r="C353" s="42" t="str">
        <x:v>TRANSVERSE</x:v>
      </x:c>
      <x:c r="D353" s="42" t="str">
        <x:v>Règles métier transverses</x:v>
      </x:c>
      <x:c r="E353" s="42" t="str">
        <x:v>Règle métier</x:v>
      </x:c>
      <x:c r="F353" s="42" t="str">
        <x:v>Jeu de données synthétique couvrant la règle et ses contrôles associés.</x:v>
      </x:c>
      <x:c r="G353" s="42" t="str">
        <x:v>1. Préparer le contexte métier. 2. Exécuter le parcours concerné. 3. Vérifier la règle : Les relances sont suspendues lorsqu’un litige bloquant ou une promesse valide est actif. 4. Contrôler l’audit et l’absence d’effet secondaire.</x:v>
      </x:c>
      <x:c r="H353" s="42" t="str">
        <x:v>La règle RG-009 est appliquée de façon cohérente sur tous les modules concernés, avec preuve d’audit lorsqu’elle porte sur une opération sensible.</x:v>
      </x:c>
      <x:c r="I353" s="42" t="str">
        <x:v>Critique</x:v>
      </x:c>
      <x:c r="J353" s="42" t="str">
        <x:v>Synthétique transverse</x:v>
      </x:c>
      <x:c r="K353" s="42" t="str">
        <x:v>À automatiser</x:v>
      </x:c>
      <x:c r="L353" s="42" t="str">
        <x:v>Non exécuté</x:v>
      </x:c>
      <x:c r="M353" s="42" t="str"/>
    </x:row>
    <x:row r="354">
      <x:c r="A354" s="42" t="str">
        <x:v>TC-RG-010-RULE</x:v>
      </x:c>
      <x:c r="B354" s="42" t="str">
        <x:v>RG-010</x:v>
      </x:c>
      <x:c r="C354" s="42" t="str">
        <x:v>TRANSVERSE</x:v>
      </x:c>
      <x:c r="D354" s="42" t="str">
        <x:v>Règles métier transverses</x:v>
      </x:c>
      <x:c r="E354" s="42" t="str">
        <x:v>Règle métier</x:v>
      </x:c>
      <x:c r="F354" s="42" t="str">
        <x:v>Jeu de données synthétique couvrant la règle et ses contrôles associés.</x:v>
      </x:c>
      <x:c r="G354" s="42" t="str">
        <x:v>1. Préparer le contexte métier. 2. Exécuter le parcours concerné. 3. Vérifier la règle : Les membres actifs maintenus sur l’ancien système ne génèrent pas de rémunération prestataire si non enrôlés via la solution. 4. Contrôler l’audit et l’absence d’effet secondaire.</x:v>
      </x:c>
      <x:c r="H354" s="42" t="str">
        <x:v>La règle RG-010 est appliquée de façon cohérente sur tous les modules concernés, avec preuve d’audit lorsqu’elle porte sur une opération sensible.</x:v>
      </x:c>
      <x:c r="I354" s="42" t="str">
        <x:v>Critique</x:v>
      </x:c>
      <x:c r="J354" s="42" t="str">
        <x:v>Synthétique transverse</x:v>
      </x:c>
      <x:c r="K354" s="42" t="str">
        <x:v>À automatiser</x:v>
      </x:c>
      <x:c r="L354" s="42" t="str">
        <x:v>Non exécuté</x:v>
      </x:c>
      <x:c r="M354" s="42" t="str"/>
    </x:row>
    <x:row r="355">
      <x:c r="A355" s="42" t="str">
        <x:v>TC-RG-011-RULE</x:v>
      </x:c>
      <x:c r="B355" s="42" t="str">
        <x:v>RG-011</x:v>
      </x:c>
      <x:c r="C355" s="42" t="str">
        <x:v>TRANSVERSE</x:v>
      </x:c>
      <x:c r="D355" s="42" t="str">
        <x:v>Règles métier transverses</x:v>
      </x:c>
      <x:c r="E355" s="42" t="str">
        <x:v>Règle métier</x:v>
      </x:c>
      <x:c r="F355" s="42" t="str">
        <x:v>Jeu de données synthétique couvrant la règle et ses contrôles associés.</x:v>
      </x:c>
      <x:c r="G355" s="42" t="str">
        <x:v>1. Préparer le contexte métier. 2. Exécuter le parcours concerné. 3. Vérifier la règle : La prime est calculée sur les encaissements effectivement confirmés et éligibles, non sur les appels émis. 4. Contrôler l’audit et l’absence d’effet secondaire.</x:v>
      </x:c>
      <x:c r="H355" s="42" t="str">
        <x:v>La règle RG-011 est appliquée de façon cohérente sur tous les modules concernés, avec preuve d’audit lorsqu’elle porte sur une opération sensible.</x:v>
      </x:c>
      <x:c r="I355" s="42" t="str">
        <x:v>Critique</x:v>
      </x:c>
      <x:c r="J355" s="42" t="str">
        <x:v>Synthétique transverse</x:v>
      </x:c>
      <x:c r="K355" s="42" t="str">
        <x:v>À automatiser</x:v>
      </x:c>
      <x:c r="L355" s="42" t="str">
        <x:v>Non exécuté</x:v>
      </x:c>
      <x:c r="M355" s="42" t="str"/>
    </x:row>
    <x:row r="356">
      <x:c r="A356" s="42" t="str">
        <x:v>TC-RG-012-RULE</x:v>
      </x:c>
      <x:c r="B356" s="42" t="str">
        <x:v>RG-012</x:v>
      </x:c>
      <x:c r="C356" s="42" t="str">
        <x:v>TRANSVERSE</x:v>
      </x:c>
      <x:c r="D356" s="42" t="str">
        <x:v>Règles métier transverses</x:v>
      </x:c>
      <x:c r="E356" s="42" t="str">
        <x:v>Règle métier</x:v>
      </x:c>
      <x:c r="F356" s="42" t="str">
        <x:v>Jeu de données synthétique couvrant la règle et ses contrôles associés.</x:v>
      </x:c>
      <x:c r="G356" s="42" t="str">
        <x:v>1. Préparer le contexte métier. 2. Exécuter le parcours concerné. 3. Vérifier la règle : La clôture mensuelle fige les états financiers; toute correction ultérieure est comptabilisée sur une période ouverte. 4. Contrôler l’audit et l’absence d’effet secondaire.</x:v>
      </x:c>
      <x:c r="H356" s="42" t="str">
        <x:v>La règle RG-012 est appliquée de façon cohérente sur tous les modules concernés, avec preuve d’audit lorsqu’elle porte sur une opération sensible.</x:v>
      </x:c>
      <x:c r="I356" s="42" t="str">
        <x:v>Critique</x:v>
      </x:c>
      <x:c r="J356" s="42" t="str">
        <x:v>Synthétique transverse</x:v>
      </x:c>
      <x:c r="K356" s="42" t="str">
        <x:v>À automatiser</x:v>
      </x:c>
      <x:c r="L356" s="42" t="str">
        <x:v>Non exécuté</x:v>
      </x:c>
      <x:c r="M356" s="42" t="str"/>
    </x:row>
    <x:row r="357">
      <x:c r="A357" s="42" t="str">
        <x:v>TC-RG-013-RULE</x:v>
      </x:c>
      <x:c r="B357" s="42" t="str">
        <x:v>RG-013</x:v>
      </x:c>
      <x:c r="C357" s="42" t="str">
        <x:v>TRANSVERSE</x:v>
      </x:c>
      <x:c r="D357" s="42" t="str">
        <x:v>Règles métier transverses</x:v>
      </x:c>
      <x:c r="E357" s="42" t="str">
        <x:v>Règle métier</x:v>
      </x:c>
      <x:c r="F357" s="42" t="str">
        <x:v>Jeu de données synthétique couvrant la règle et ses contrôles associés.</x:v>
      </x:c>
      <x:c r="G357" s="42" t="str">
        <x:v>1. Préparer le contexte métier. 2. Exécuter le parcours concerné. 3. Vérifier la règle : Les exports sensibles sont journalisés et peuvent nécessiter une justification. 4. Contrôler l’audit et l’absence d’effet secondaire.</x:v>
      </x:c>
      <x:c r="H357" s="42" t="str">
        <x:v>La règle RG-013 est appliquée de façon cohérente sur tous les modules concernés, avec preuve d’audit lorsqu’elle porte sur une opération sensible.</x:v>
      </x:c>
      <x:c r="I357" s="42" t="str">
        <x:v>Critique</x:v>
      </x:c>
      <x:c r="J357" s="42" t="str">
        <x:v>Synthétique transverse</x:v>
      </x:c>
      <x:c r="K357" s="42" t="str">
        <x:v>À automatiser</x:v>
      </x:c>
      <x:c r="L357" s="42" t="str">
        <x:v>Non exécuté</x:v>
      </x:c>
      <x:c r="M357" s="42" t="str"/>
    </x:row>
    <x:row r="358">
      <x:c r="A358" s="42" t="str">
        <x:v>TC-RG-014-RULE</x:v>
      </x:c>
      <x:c r="B358" s="42" t="str">
        <x:v>RG-014</x:v>
      </x:c>
      <x:c r="C358" s="42" t="str">
        <x:v>TRANSVERSE</x:v>
      </x:c>
      <x:c r="D358" s="42" t="str">
        <x:v>Règles métier transverses</x:v>
      </x:c>
      <x:c r="E358" s="42" t="str">
        <x:v>Règle métier</x:v>
      </x:c>
      <x:c r="F358" s="42" t="str">
        <x:v>Jeu de données synthétique couvrant la règle et ses contrôles associés.</x:v>
      </x:c>
      <x:c r="G358" s="42" t="str">
        <x:v>1. Préparer le contexte métier. 2. Exécuter le parcours concerné. 3. Vérifier la règle : Les comptes inactifs ou expirés sont suspendus automatiquement selon la politique. 4. Contrôler l’audit et l’absence d’effet secondaire.</x:v>
      </x:c>
      <x:c r="H358" s="42" t="str">
        <x:v>La règle RG-014 est appliquée de façon cohérente sur tous les modules concernés, avec preuve d’audit lorsqu’elle porte sur une opération sensible.</x:v>
      </x:c>
      <x:c r="I358" s="42" t="str">
        <x:v>Critique</x:v>
      </x:c>
      <x:c r="J358" s="42" t="str">
        <x:v>Synthétique transverse</x:v>
      </x:c>
      <x:c r="K358" s="42" t="str">
        <x:v>À automatiser</x:v>
      </x:c>
      <x:c r="L358" s="42" t="str">
        <x:v>Non exécuté</x:v>
      </x:c>
      <x:c r="M358" s="42" t="str"/>
    </x:row>
    <x:row r="359">
      <x:c r="A359" s="42" t="str">
        <x:v>TC-RG-015-RULE</x:v>
      </x:c>
      <x:c r="B359" s="42" t="str">
        <x:v>RG-015</x:v>
      </x:c>
      <x:c r="C359" s="42" t="str">
        <x:v>TRANSVERSE</x:v>
      </x:c>
      <x:c r="D359" s="42" t="str">
        <x:v>Règles métier transverses</x:v>
      </x:c>
      <x:c r="E359" s="42" t="str">
        <x:v>Règle métier</x:v>
      </x:c>
      <x:c r="F359" s="42" t="str">
        <x:v>Jeu de données synthétique couvrant la règle et ses contrôles associés.</x:v>
      </x:c>
      <x:c r="G359" s="42" t="str">
        <x:v>1. Préparer le contexte métier. 2. Exécuter le parcours concerné. 3. Vérifier la règle : Les pièces expirées déclenchent une alerte et peuvent limiter certains services sans supprimer l’historique. 4. Contrôler l’audit et l’absence d’effet secondaire.</x:v>
      </x:c>
      <x:c r="H359" s="42" t="str">
        <x:v>La règle RG-015 est appliquée de façon cohérente sur tous les modules concernés, avec preuve d’audit lorsqu’elle porte sur une opération sensible.</x:v>
      </x:c>
      <x:c r="I359" s="42" t="str">
        <x:v>Critique</x:v>
      </x:c>
      <x:c r="J359" s="42" t="str">
        <x:v>Synthétique transverse</x:v>
      </x:c>
      <x:c r="K359" s="42" t="str">
        <x:v>À automatiser</x:v>
      </x:c>
      <x:c r="L359" s="42" t="str">
        <x:v>Non exécuté</x:v>
      </x:c>
      <x:c r="M359" s="42" t="str"/>
    </x:row>
    <x:row r="360">
      <x:c r="A360" s="42" t="str">
        <x:v>TC-RG-016-RULE</x:v>
      </x:c>
      <x:c r="B360" s="42" t="str">
        <x:v>RG-016</x:v>
      </x:c>
      <x:c r="C360" s="42" t="str">
        <x:v>TRANSVERSE</x:v>
      </x:c>
      <x:c r="D360" s="42" t="str">
        <x:v>Règles métier transverses</x:v>
      </x:c>
      <x:c r="E360" s="42" t="str">
        <x:v>Règle métier</x:v>
      </x:c>
      <x:c r="F360" s="42" t="str">
        <x:v>Jeu de données synthétique couvrant la règle et ses contrôles associés.</x:v>
      </x:c>
      <x:c r="G360" s="42" t="str">
        <x:v>1. Préparer le contexte métier. 2. Exécuter le parcours concerné. 3. Vérifier la règle : Le score analytique assiste la décision mais ne peut, seul, radier, sanctionner ou refuser un membre. 4. Contrôler l’audit et l’absence d’effet secondaire.</x:v>
      </x:c>
      <x:c r="H360" s="42" t="str">
        <x:v>La règle RG-016 est appliquée de façon cohérente sur tous les modules concernés, avec preuve d’audit lorsqu’elle porte sur une opération sensible.</x:v>
      </x:c>
      <x:c r="I360" s="42" t="str">
        <x:v>Critique</x:v>
      </x:c>
      <x:c r="J360" s="42" t="str">
        <x:v>Synthétique transverse</x:v>
      </x:c>
      <x:c r="K360" s="42" t="str">
        <x:v>À automatiser</x:v>
      </x:c>
      <x:c r="L360" s="42" t="str">
        <x:v>Non exécuté</x:v>
      </x:c>
      <x:c r="M360" s="42" t="str"/>
    </x:row>
    <x:row r="361">
      <x:c r="A361" s="42" t="str">
        <x:v>TC-RG-017-RULE</x:v>
      </x:c>
      <x:c r="B361" s="42" t="str">
        <x:v>RG-017</x:v>
      </x:c>
      <x:c r="C361" s="42" t="str">
        <x:v>TRANSVERSE</x:v>
      </x:c>
      <x:c r="D361" s="42" t="str">
        <x:v>Règles métier transverses</x:v>
      </x:c>
      <x:c r="E361" s="42" t="str">
        <x:v>Règle métier</x:v>
      </x:c>
      <x:c r="F361" s="42" t="str">
        <x:v>Jeu de données synthétique couvrant la règle et ses contrôles associés.</x:v>
      </x:c>
      <x:c r="G361" s="42" t="str">
        <x:v>1. Préparer le contexte métier. 2. Exécuter le parcours concerné. 3. Vérifier la règle : Chaque KPI décisionnel possède une définition et un propriétaire métier. 4. Contrôler l’audit et l’absence d’effet secondaire.</x:v>
      </x:c>
      <x:c r="H361" s="42" t="str">
        <x:v>La règle RG-017 est appliquée de façon cohérente sur tous les modules concernés, avec preuve d’audit lorsqu’elle porte sur une opération sensible.</x:v>
      </x:c>
      <x:c r="I361" s="42" t="str">
        <x:v>Critique</x:v>
      </x:c>
      <x:c r="J361" s="42" t="str">
        <x:v>Synthétique transverse</x:v>
      </x:c>
      <x:c r="K361" s="42" t="str">
        <x:v>À automatiser</x:v>
      </x:c>
      <x:c r="L361" s="42" t="str">
        <x:v>Non exécuté</x:v>
      </x:c>
      <x:c r="M361" s="42" t="str"/>
    </x:row>
    <x:row r="362">
      <x:c r="A362" s="42" t="str">
        <x:v>TC-RG-018-RULE</x:v>
      </x:c>
      <x:c r="B362" s="42" t="str">
        <x:v>RG-018</x:v>
      </x:c>
      <x:c r="C362" s="42" t="str">
        <x:v>TRANSVERSE</x:v>
      </x:c>
      <x:c r="D362" s="42" t="str">
        <x:v>Règles métier transverses</x:v>
      </x:c>
      <x:c r="E362" s="42" t="str">
        <x:v>Règle métier</x:v>
      </x:c>
      <x:c r="F362" s="42" t="str">
        <x:v>Jeu de données synthétique couvrant la règle et ses contrôles associés.</x:v>
      </x:c>
      <x:c r="G362" s="42" t="str">
        <x:v>1. Préparer le contexte métier. 2. Exécuter le parcours concerné. 3. Vérifier la règle : Les données synchronisées hors ligne ne peuvent confirmer une opération financière avant validation centrale. 4. Contrôler l’audit et l’absence d’effet secondaire.</x:v>
      </x:c>
      <x:c r="H362" s="42" t="str">
        <x:v>La règle RG-018 est appliquée de façon cohérente sur tous les modules concernés, avec preuve d’audit lorsqu’elle porte sur une opération sensible.</x:v>
      </x:c>
      <x:c r="I362" s="42" t="str">
        <x:v>Critique</x:v>
      </x:c>
      <x:c r="J362" s="42" t="str">
        <x:v>Synthétique transverse</x:v>
      </x:c>
      <x:c r="K362" s="42" t="str">
        <x:v>À automatiser</x:v>
      </x:c>
      <x:c r="L362" s="42" t="str">
        <x:v>Non exécuté</x:v>
      </x:c>
      <x:c r="M362" s="42" t="str"/>
    </x:row>
    <x:row r="363">
      <x:c r="A363" s="42" t="str">
        <x:v>TC-RG-019-RULE</x:v>
      </x:c>
      <x:c r="B363" s="42" t="str">
        <x:v>RG-019</x:v>
      </x:c>
      <x:c r="C363" s="42" t="str">
        <x:v>TRANSVERSE</x:v>
      </x:c>
      <x:c r="D363" s="42" t="str">
        <x:v>Règles métier transverses</x:v>
      </x:c>
      <x:c r="E363" s="42" t="str">
        <x:v>Règle métier</x:v>
      </x:c>
      <x:c r="F363" s="42" t="str">
        <x:v>Jeu de données synthétique couvrant la règle et ses contrôles associés.</x:v>
      </x:c>
      <x:c r="G363" s="42" t="str">
        <x:v>1. Préparer le contexte métier. 2. Exécuter le parcours concerné. 3. Vérifier la règle : La réversibilité doit inclure données, pièces, journaux, modèles, référentiels et documentation. 4. Contrôler l’audit et l’absence d’effet secondaire.</x:v>
      </x:c>
      <x:c r="H363" s="42" t="str">
        <x:v>La règle RG-019 est appliquée de façon cohérente sur tous les modules concernés, avec preuve d’audit lorsqu’elle porte sur une opération sensible.</x:v>
      </x:c>
      <x:c r="I363" s="42" t="str">
        <x:v>Critique</x:v>
      </x:c>
      <x:c r="J363" s="42" t="str">
        <x:v>Synthétique transverse</x:v>
      </x:c>
      <x:c r="K363" s="42" t="str">
        <x:v>À automatiser</x:v>
      </x:c>
      <x:c r="L363" s="42" t="str">
        <x:v>Non exécuté</x:v>
      </x:c>
      <x:c r="M363" s="42" t="str"/>
    </x:row>
    <x:row r="364">
      <x:c r="A364" s="42" t="str">
        <x:v>TC-RG-020-RULE</x:v>
      </x:c>
      <x:c r="B364" s="42" t="str">
        <x:v>RG-020</x:v>
      </x:c>
      <x:c r="C364" s="42" t="str">
        <x:v>TRANSVERSE</x:v>
      </x:c>
      <x:c r="D364" s="42" t="str">
        <x:v>Règles métier transverses</x:v>
      </x:c>
      <x:c r="E364" s="42" t="str">
        <x:v>Règle métier</x:v>
      </x:c>
      <x:c r="F364" s="42" t="str">
        <x:v>Jeu de données synthétique couvrant la règle et ses contrôles associés.</x:v>
      </x:c>
      <x:c r="G364" s="42" t="str">
        <x:v>1. Préparer le contexte métier. 2. Exécuter le parcours concerné. 3. Vérifier la règle : Toute modification de la politique de confidentialité ou des consentements est versionnée et horodatée. 4. Contrôler l’audit et l’absence d’effet secondaire.</x:v>
      </x:c>
      <x:c r="H364" s="42" t="str">
        <x:v>La règle RG-020 est appliquée de façon cohérente sur tous les modules concernés, avec preuve d’audit lorsqu’elle porte sur une opération sensible.</x:v>
      </x:c>
      <x:c r="I364" s="42" t="str">
        <x:v>Critique</x:v>
      </x:c>
      <x:c r="J364" s="42" t="str">
        <x:v>Synthétique transverse</x:v>
      </x:c>
      <x:c r="K364" s="42" t="str">
        <x:v>À automatiser</x:v>
      </x:c>
      <x:c r="L364" s="42" t="str">
        <x:v>Non exécuté</x:v>
      </x:c>
      <x:c r="M364" s="42" t="str"/>
    </x:row>
  </x:sheetData>
  <x:mergeCells>
    <x:mergeCell ref="A1:M1"/>
    <x:mergeCell ref="A2:M2"/>
  </x:mergeCells>
  <x:dataValidations count="3">
    <x:dataValidation type="list" sqref="I4:I364">
      <x:formula1>"Critique,Haute,Moyenne,Basse"</x:formula1>
    </x:dataValidation>
    <x:dataValidation type="list" sqref="K4:K364">
      <x:formula1>"Obligatoire,À automatiser,Manuelle"</x:formula1>
    </x:dataValidation>
    <x:dataValidation type="list" sqref="L4:L364">
      <x:formula1>"Non exécuté,Réussi,Échoué,Bloqué"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5" hidden="0" customWidth="1"/>
    <x:col min="4" max="4" width="45" hidden="0" customWidth="1"/>
    <x:col min="5" max="5" width="55" hidden="0" customWidth="1"/>
    <x:col min="6" max="6" width="40" hidden="0" customWidth="1"/>
    <x:col min="7" max="7" width="18" hidden="0" customWidth="1"/>
  </x:cols>
  <x:sheetData>
    <x:row r="1" ht="30" customHeight="1">
      <x:c r="A1" s="4" t="str">
        <x:v>Plan de versions</x:v>
      </x:c>
      <x:c r="B1" s="4"/>
      <x:c r="C1" s="4"/>
      <x:c r="D1" s="4"/>
      <x:c r="E1" s="4"/>
      <x:c r="F1" s="4"/>
      <x:c r="G1" s="4"/>
    </x:row>
    <x:row r="2" ht="28" customHeight="1">
      <x:c r="A2" s="10" t="str">
        <x:v>Roadmap indicative à ajuster selon la capacité d’équipe et les décisions partenaires.</x:v>
      </x:c>
      <x:c r="B2" s="10"/>
      <x:c r="C2" s="10"/>
      <x:c r="D2" s="10"/>
      <x:c r="E2" s="10"/>
      <x:c r="F2" s="10"/>
      <x:c r="G2" s="10"/>
    </x:row>
    <x:row r="3" ht="30" customHeight="1">
      <x:c r="A3" s="37" t="str">
        <x:v>Release</x:v>
      </x:c>
      <x:c r="B3" s="37" t="str">
        <x:v>Objectif</x:v>
      </x:c>
      <x:c r="C3" s="37" t="str">
        <x:v>Modules principaux</x:v>
      </x:c>
      <x:c r="D3" s="37" t="str">
        <x:v>Critères d’entrée</x:v>
      </x:c>
      <x:c r="E3" s="37" t="str">
        <x:v>Critères de sortie</x:v>
      </x:c>
      <x:c r="F3" s="37" t="str">
        <x:v>Dépendances</x:v>
      </x:c>
      <x:c r="G3" s="37" t="str">
        <x:v>Durée indicative</x:v>
      </x:c>
    </x:row>
    <x:row r="4">
      <x:c r="A4" s="42" t="str">
        <x:v>R0 - Fondations</x:v>
      </x:c>
      <x:c r="B4" s="42" t="str">
        <x:v>Établir le socle sécurisé et exploitable.</x:v>
      </x:c>
      <x:c r="C4" s="42" t="str">
        <x:v>Architecture, PostgreSQL, IAM, audit, CI/CD, observabilité, design system.</x:v>
      </x:c>
      <x:c r="D4" s="42" t="str">
        <x:v>Décisions d’architecture validées.</x:v>
      </x:c>
      <x:c r="E4" s="42" t="str">
        <x:v>Environnements reproductibles, 2FA, migrations, audit et pipeline opérationnels.</x:v>
      </x:c>
      <x:c r="F4" s="42" t="str">
        <x:v>Hébergement et gouvernance.</x:v>
      </x:c>
      <x:c r="G4" s="42" t="str">
        <x:v>4 à 6 sprints</x:v>
      </x:c>
    </x:row>
    <x:row r="5">
      <x:c r="A5" s="42" t="str">
        <x:v>R1 - PoC bout en bout</x:v>
      </x:c>
      <x:c r="B5" s="42" t="str">
        <x:v>Démontrer l’enrôlement jusqu’au reçu.</x:v>
      </x:c>
      <x:c r="C5" s="42" t="str">
        <x:v>Membres, enrôlement, cotisations, paiements, rapprochement, reçus, recouvrement, KPI PoC.</x:v>
      </x:c>
      <x:c r="D5" s="42" t="str">
        <x:v>R0 accepté; partenaires sandbox disponibles.</x:v>
      </x:c>
      <x:c r="E5" s="42" t="str">
        <x:v>Chaîne bout en bout, sécurité critique, restauration et recette PoC acceptées.</x:v>
      </x:c>
      <x:c r="F5" s="42" t="str">
        <x:v>Mobile Money, banques, barèmes, signature.</x:v>
      </x:c>
      <x:c r="G5" s="42" t="str">
        <x:v>6 à 10 sprints</x:v>
      </x:c>
    </x:row>
    <x:row r="6">
      <x:c r="A6" s="42" t="str">
        <x:v>R2 - Portail et extension</x:v>
      </x:c>
      <x:c r="B6" s="42" t="str">
        <x:v>Étendre l’usage membres et institutionnel.</x:v>
      </x:c>
      <x:c r="C6" s="42" t="str">
        <x:v>Portail/mobile, requêtes, groupements, primes, GED.</x:v>
      </x:c>
      <x:c r="D6" s="42" t="str">
        <x:v>PoC validé.</x:v>
      </x:c>
      <x:c r="E6" s="42" t="str">
        <x:v>Adoption, SLA, primes contrôlées, réversibilité testée.</x:v>
      </x:c>
      <x:c r="F6" s="42" t="str">
        <x:v>Taux de primes, migration prospects.</x:v>
      </x:c>
      <x:c r="G6" s="42" t="str">
        <x:v>5 à 8 sprints</x:v>
      </x:c>
    </x:row>
    <x:row r="7">
      <x:c r="A7" s="42" t="str">
        <x:v>R3 - Services premium</x:v>
      </x:c>
      <x:c r="B7" s="42" t="str">
        <x:v>Déployer la valeur avancée et la BI.</x:v>
      </x:c>
      <x:c r="C7" s="42" t="str">
        <x:v>Événements, gouvernance, prévisions, scoring, INPS futur.</x:v>
      </x:c>
      <x:c r="D7" s="42" t="str">
        <x:v>Données stabilisées et releases précédentes acceptées.</x:v>
      </x:c>
      <x:c r="E7" s="42" t="str">
        <x:v>KPI certifiés, performance, interopérabilité et exploitation consolidées.</x:v>
      </x:c>
      <x:c r="F7" s="42" t="str">
        <x:v>Accord INPS et stratégie BI.</x:v>
      </x:c>
      <x:c r="G7" s="42" t="str">
        <x:v>4 à 8 sprints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14" hidden="0" customWidth="1"/>
    <x:col min="5" max="5" width="14" hidden="0" customWidth="1"/>
    <x:col min="6" max="6" width="60" hidden="0" customWidth="1"/>
    <x:col min="7" max="7" width="24" hidden="0" customWidth="1"/>
    <x:col min="8" max="8" width="14" hidden="0" customWidth="1"/>
    <x:col min="9" max="9" width="16" hidden="0" customWidth="1"/>
    <x:col min="10" max="10" width="30" hidden="0" customWidth="1"/>
  </x:cols>
  <x:sheetData>
    <x:row r="1" ht="30" customHeight="1">
      <x:c r="A1" s="4" t="str">
        <x:v>Registre des risques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10" t="str">
        <x:v>Risques initiaux à réévaluer à chaque jalon et changement majeur.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30" customHeight="1">
      <x:c r="A3" s="37" t="str">
        <x:v>ID</x:v>
      </x:c>
      <x:c r="B3" s="37" t="str">
        <x:v>Risque</x:v>
      </x:c>
      <x:c r="C3" s="37" t="str">
        <x:v>Probabilité</x:v>
      </x:c>
      <x:c r="D3" s="37" t="str">
        <x:v>Impact</x:v>
      </x:c>
      <x:c r="E3" s="37" t="str">
        <x:v>Criticité</x:v>
      </x:c>
      <x:c r="F3" s="37" t="str">
        <x:v>Mesure de maîtrise</x:v>
      </x:c>
      <x:c r="G3" s="37" t="str">
        <x:v>Responsable</x:v>
      </x:c>
      <x:c r="H3" s="37" t="str">
        <x:v>Statut</x:v>
      </x:c>
      <x:c r="I3" s="37" t="str">
        <x:v>Échéance</x:v>
      </x:c>
      <x:c r="J3" s="37" t="str">
        <x:v>Preuve</x:v>
      </x:c>
    </x:row>
    <x:row r="4">
      <x:c r="A4" s="42" t="str">
        <x:v>R-001</x:v>
      </x:c>
      <x:c r="B4" s="42" t="str">
        <x:v>Qualité insuffisante des données membres</x:v>
      </x:c>
      <x:c r="C4" s="42" t="str">
        <x:v>Élevée</x:v>
      </x:c>
      <x:c r="D4" s="42" t="str">
        <x:v>Élevé</x:v>
      </x:c>
      <x:c r="E4" s="42" t="str">
        <x:v>Critique</x:v>
      </x:c>
      <x:c r="F4" s="42" t="str">
        <x:v>Profilage, dédoublonnage, règles de rejet, reprise progressive.</x:v>
      </x:c>
      <x:c r="G4" s="42" t="str">
        <x:v>Responsable données</x:v>
      </x:c>
      <x:c r="H4" s="42" t="str">
        <x:v>Ouvert</x:v>
      </x:c>
      <x:c r="I4" s="42" t="str"/>
      <x:c r="J4" s="42" t="str"/>
    </x:row>
    <x:row r="5">
      <x:c r="A5" s="42" t="str">
        <x:v>R-002</x:v>
      </x:c>
      <x:c r="B5" s="42" t="str">
        <x:v>Intégrations de paiement non stabilisées</x:v>
      </x:c>
      <x:c r="C5" s="42" t="str">
        <x:v>Moyenne</x:v>
      </x:c>
      <x:c r="D5" s="42" t="str">
        <x:v>Très élevé</x:v>
      </x:c>
      <x:c r="E5" s="42" t="str">
        <x:v>Critique</x:v>
      </x:c>
      <x:c r="F5" s="42" t="str">
        <x:v>Contrats d’API précoces, simulateurs, idempotence et rapprochement de secours.</x:v>
      </x:c>
      <x:c r="G5" s="42" t="str">
        <x:v>Architecte intégration</x:v>
      </x:c>
      <x:c r="H5" s="42" t="str">
        <x:v>Ouvert</x:v>
      </x:c>
      <x:c r="I5" s="42" t="str"/>
      <x:c r="J5" s="42" t="str"/>
    </x:row>
    <x:row r="6">
      <x:c r="A6" s="42" t="str">
        <x:v>R-003</x:v>
      </x:c>
      <x:c r="B6" s="42" t="str">
        <x:v>Fraude ou erreur sur les confirmations</x:v>
      </x:c>
      <x:c r="C6" s="42" t="str">
        <x:v>Moyenne</x:v>
      </x:c>
      <x:c r="D6" s="42" t="str">
        <x:v>Très élevé</x:v>
      </x:c>
      <x:c r="E6" s="42" t="str">
        <x:v>Critique</x:v>
      </x:c>
      <x:c r="F6" s="42" t="str">
        <x:v>Séparation des tâches, 2FA, limites, audit immuable et alertes.</x:v>
      </x:c>
      <x:c r="G6" s="42" t="str">
        <x:v>RSSI/Finance</x:v>
      </x:c>
      <x:c r="H6" s="42" t="str">
        <x:v>Ouvert</x:v>
      </x:c>
      <x:c r="I6" s="42" t="str"/>
      <x:c r="J6" s="42" t="str"/>
    </x:row>
    <x:row r="7">
      <x:c r="A7" s="42" t="str">
        <x:v>R-004</x:v>
      </x:c>
      <x:c r="B7" s="42" t="str">
        <x:v>Faible connectivité terrain</x:v>
      </x:c>
      <x:c r="C7" s="42" t="str">
        <x:v>Élevée</x:v>
      </x:c>
      <x:c r="D7" s="42" t="str">
        <x:v>Moyen</x:v>
      </x:c>
      <x:c r="E7" s="42" t="str">
        <x:v>Élevé</x:v>
      </x:c>
      <x:c r="F7" s="42" t="str">
        <x:v>PWA/mobile offline-first, files locales, reprise et compression.</x:v>
      </x:c>
      <x:c r="G7" s="42" t="str">
        <x:v>Lead mobile</x:v>
      </x:c>
      <x:c r="H7" s="42" t="str">
        <x:v>Ouvert</x:v>
      </x:c>
      <x:c r="I7" s="42" t="str"/>
      <x:c r="J7" s="42" t="str"/>
    </x:row>
    <x:row r="8">
      <x:c r="A8" s="42" t="str">
        <x:v>R-005</x:v>
      </x:c>
      <x:c r="B8" s="42" t="str">
        <x:v>Résistance au changement</x:v>
      </x:c>
      <x:c r="C8" s="42" t="str">
        <x:v>Moyenne</x:v>
      </x:c>
      <x:c r="D8" s="42" t="str">
        <x:v>Élevé</x:v>
      </x:c>
      <x:c r="E8" s="42" t="str">
        <x:v>Élevé</x:v>
      </x:c>
      <x:c r="F8" s="42" t="str">
        <x:v>Formation, relais groupements, pilote et support de proximité.</x:v>
      </x:c>
      <x:c r="G8" s="42" t="str">
        <x:v>Change manager</x:v>
      </x:c>
      <x:c r="H8" s="42" t="str">
        <x:v>Ouvert</x:v>
      </x:c>
      <x:c r="I8" s="42" t="str"/>
      <x:c r="J8" s="42" t="str"/>
    </x:row>
    <x:row r="9">
      <x:c r="A9" s="42" t="str">
        <x:v>R-006</x:v>
      </x:c>
      <x:c r="B9" s="42" t="str">
        <x:v>Dépendance au prestataire</x:v>
      </x:c>
      <x:c r="C9" s="42" t="str">
        <x:v>Moyenne</x:v>
      </x:c>
      <x:c r="D9" s="42" t="str">
        <x:v>Élevé</x:v>
      </x:c>
      <x:c r="E9" s="42" t="str">
        <x:v>Élevé</x:v>
      </x:c>
      <x:c r="F9" s="42" t="str">
        <x:v>Standards ouverts, dépôt CNPM, documentation, export et réversibilité testée.</x:v>
      </x:c>
      <x:c r="G9" s="42" t="str">
        <x:v>Comité de pilotage</x:v>
      </x:c>
      <x:c r="H9" s="42" t="str">
        <x:v>Ouvert</x:v>
      </x:c>
      <x:c r="I9" s="42" t="str"/>
      <x:c r="J9" s="42" t="str"/>
    </x:row>
    <x:row r="10">
      <x:c r="A10" s="42" t="str">
        <x:v>R-007</x:v>
      </x:c>
      <x:c r="B10" s="42" t="str">
        <x:v>Sous-dimensionnement PostgreSQL</x:v>
      </x:c>
      <x:c r="C10" s="42" t="str">
        <x:v>Faible</x:v>
      </x:c>
      <x:c r="D10" s="42" t="str">
        <x:v>Élevé</x:v>
      </x:c>
      <x:c r="E10" s="42" t="str">
        <x:v>Moyen</x:v>
      </x:c>
      <x:c r="F10" s="42" t="str">
        <x:v>Tests de charge, supervision, PgBouncer, index et réplication.</x:v>
      </x:c>
      <x:c r="G10" s="42" t="str">
        <x:v>DBA</x:v>
      </x:c>
      <x:c r="H10" s="42" t="str">
        <x:v>Ouvert</x:v>
      </x:c>
      <x:c r="I10" s="42" t="str"/>
      <x:c r="J10" s="42" t="str"/>
    </x:row>
    <x:row r="11">
      <x:c r="A11" s="42" t="str">
        <x:v>R-008</x:v>
      </x:c>
      <x:c r="B11" s="42" t="str">
        <x:v>Fuite de données personnelles</x:v>
      </x:c>
      <x:c r="C11" s="42" t="str">
        <x:v>Moyenne</x:v>
      </x:c>
      <x:c r="D11" s="42" t="str">
        <x:v>Très élevé</x:v>
      </x:c>
      <x:c r="E11" s="42" t="str">
        <x:v>Critique</x:v>
      </x:c>
      <x:c r="F11" s="42" t="str">
        <x:v>Classification, chiffrement, moindre privilège, DLP et réponse incident.</x:v>
      </x:c>
      <x:c r="G11" s="42" t="str">
        <x:v>RSSI/DPO</x:v>
      </x:c>
      <x:c r="H11" s="42" t="str">
        <x:v>Ouvert</x:v>
      </x:c>
      <x:c r="I11" s="42" t="str"/>
      <x:c r="J11" s="42" t="str"/>
    </x:row>
    <x:row r="12">
      <x:c r="A12" s="42" t="str">
        <x:v>R-009</x:v>
      </x:c>
      <x:c r="B12" s="42" t="str">
        <x:v>Dérive fonctionnelle du backlog</x:v>
      </x:c>
      <x:c r="C12" s="42" t="str">
        <x:v>Élevée</x:v>
      </x:c>
      <x:c r="D12" s="42" t="str">
        <x:v>Moyen</x:v>
      </x:c>
      <x:c r="E12" s="42" t="str">
        <x:v>Élevé</x:v>
      </x:c>
      <x:c r="F12" s="42" t="str">
        <x:v>Traçabilité exigences-stories-tests et contrôle de changement.</x:v>
      </x:c>
      <x:c r="G12" s="42" t="str">
        <x:v>Product Owner</x:v>
      </x:c>
      <x:c r="H12" s="42" t="str">
        <x:v>Ouvert</x:v>
      </x:c>
      <x:c r="I12" s="42" t="str"/>
      <x:c r="J12" s="42" t="str"/>
    </x:row>
    <x:row r="13">
      <x:c r="A13" s="42" t="str">
        <x:v>R-010</x:v>
      </x:c>
      <x:c r="B13" s="42" t="str">
        <x:v>Rapports décisionnels non fiables</x:v>
      </x:c>
      <x:c r="C13" s="42" t="str">
        <x:v>Moyenne</x:v>
      </x:c>
      <x:c r="D13" s="42" t="str">
        <x:v>Élevé</x:v>
      </x:c>
      <x:c r="E13" s="42" t="str">
        <x:v>Élevé</x:v>
      </x:c>
      <x:c r="F13" s="42" t="str">
        <x:v>Définitions KPI, réconciliation, lineage et validation métier.</x:v>
      </x:c>
      <x:c r="G13" s="42" t="str">
        <x:v>Responsable BI</x:v>
      </x:c>
      <x:c r="H13" s="42" t="str">
        <x:v>Ouvert</x:v>
      </x:c>
      <x:c r="I13" s="42" t="str"/>
      <x:c r="J13" s="42" t="str"/>
    </x:row>
  </x:sheetData>
  <x:mergeCells>
    <x:mergeCell ref="A1:J1"/>
    <x:mergeCell ref="A2:J2"/>
  </x:mergeCells>
  <x:conditionalFormatting sqref="E4:E13">
    <x:cfRule type="expression" dxfId="2" priority="1">
      <x:formula>E4="Critique"</x:formula>
    </x:cfRule>
  </x:conditionalFormatting>
  <x:dataValidations count="1">
    <x:dataValidation type="list" sqref="H4:H13">
      <x:formula1>"Ouvert,En traitement,Maîtrisé,Accepté,Clos"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58" hidden="0" customWidth="1"/>
    <x:col min="4" max="4" width="26" hidden="0" customWidth="1"/>
    <x:col min="5" max="5" width="25" hidden="0" customWidth="1"/>
    <x:col min="6" max="6" width="14" hidden="0" customWidth="1"/>
    <x:col min="7" max="7" width="14" hidden="0" customWidth="1"/>
    <x:col min="8" max="8" width="52" hidden="0" customWidth="1"/>
    <x:col min="9" max="9" width="14" hidden="0" customWidth="1"/>
    <x:col min="10" max="10" width="24" hidden="0" customWidth="1"/>
  </x:cols>
  <x:sheetData>
    <x:row r="1" ht="30" customHeight="1">
      <x:c r="A1" s="4" t="str">
        <x:v>Décisions ouvertes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10" t="str">
        <x:v>Aucune hypothèse structurante ne doit être codée comme une certitude tant que la décision n’est pas approuvée.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30" customHeight="1">
      <x:c r="A3" s="37" t="str">
        <x:v>ID</x:v>
      </x:c>
      <x:c r="B3" s="37" t="str">
        <x:v>Sujet</x:v>
      </x:c>
      <x:c r="C3" s="37" t="str">
        <x:v>Question à trancher</x:v>
      </x:c>
      <x:c r="D3" s="37" t="str">
        <x:v>Responsable</x:v>
      </x:c>
      <x:c r="E3" s="37" t="str">
        <x:v>Échéance</x:v>
      </x:c>
      <x:c r="F3" s="37" t="str">
        <x:v>Statut</x:v>
      </x:c>
      <x:c r="G3" s="37" t="str">
        <x:v>Impact</x:v>
      </x:c>
      <x:c r="H3" s="37" t="str">
        <x:v>Décision</x:v>
      </x:c>
      <x:c r="I3" s="37" t="str">
        <x:v>Date</x:v>
      </x:c>
      <x:c r="J3" s="37" t="str">
        <x:v>Approbateur</x:v>
      </x:c>
    </x:row>
    <x:row r="4">
      <x:c r="A4" s="42" t="str">
        <x:v>DEC-001</x:v>
      </x:c>
      <x:c r="B4" s="42" t="str">
        <x:v>Hébergement de production</x:v>
      </x:c>
      <x:c r="C4" s="42" t="str">
        <x:v>Choisir souverain/on-premise, cloud local/régional ou hybride.</x:v>
      </x:c>
      <x:c r="D4" s="42" t="str">
        <x:v>CNPM + DSI</x:v>
      </x:c>
      <x:c r="E4" s="42" t="str">
        <x:v>Avant architecture physique</x:v>
      </x:c>
      <x:c r="F4" s="42" t="str">
        <x:v>Ouverte</x:v>
      </x:c>
      <x:c r="G4" s="42" t="str">
        <x:v>Élevé</x:v>
      </x:c>
      <x:c r="H4" s="42" t="str"/>
      <x:c r="I4" s="42" t="str"/>
      <x:c r="J4" s="42" t="str"/>
    </x:row>
    <x:row r="5">
      <x:c r="A5" s="42" t="str">
        <x:v>DEC-002</x:v>
      </x:c>
      <x:c r="B5" s="42" t="str">
        <x:v>Opérateurs Mobile Money</x:v>
      </x:c>
      <x:c r="C5" s="42" t="str">
        <x:v>Identifier les opérateurs, contrats, sandbox et mécanismes de règlement.</x:v>
      </x:c>
      <x:c r="D5" s="42" t="str">
        <x:v>CNPM Finance</x:v>
      </x:c>
      <x:c r="E5" s="42" t="str">
        <x:v>Avant sprint paiement</x:v>
      </x:c>
      <x:c r="F5" s="42" t="str">
        <x:v>Ouverte</x:v>
      </x:c>
      <x:c r="G5" s="42" t="str">
        <x:v>Critique</x:v>
      </x:c>
      <x:c r="H5" s="42" t="str"/>
      <x:c r="I5" s="42" t="str"/>
      <x:c r="J5" s="42" t="str"/>
    </x:row>
    <x:row r="6">
      <x:c r="A6" s="42" t="str">
        <x:v>DEC-003</x:v>
      </x:c>
      <x:c r="B6" s="42" t="str">
        <x:v>Banques et formats de relevé</x:v>
      </x:c>
      <x:c r="C6" s="42" t="str">
        <x:v>Lister les banques et formats disponibles: API, ISO 20022, CSV, MT940.</x:v>
      </x:c>
      <x:c r="D6" s="42" t="str">
        <x:v>CNPM Finance</x:v>
      </x:c>
      <x:c r="E6" s="42" t="str">
        <x:v>Avant sprint rapprochement</x:v>
      </x:c>
      <x:c r="F6" s="42" t="str">
        <x:v>Ouverte</x:v>
      </x:c>
      <x:c r="G6" s="42" t="str">
        <x:v>Critique</x:v>
      </x:c>
      <x:c r="H6" s="42" t="str"/>
      <x:c r="I6" s="42" t="str"/>
      <x:c r="J6" s="42" t="str"/>
    </x:row>
    <x:row r="7">
      <x:c r="A7" s="42" t="str">
        <x:v>DEC-004</x:v>
      </x:c>
      <x:c r="B7" s="42" t="str">
        <x:v>Prestataires SMS et e-mail</x:v>
      </x:c>
      <x:c r="C7" s="42" t="str">
        <x:v>Choisir les passerelles et confirmer les engagements de service.</x:v>
      </x:c>
      <x:c r="D7" s="42" t="str">
        <x:v>CNPM Communication/DSI</x:v>
      </x:c>
      <x:c r="E7" s="42" t="str">
        <x:v>Avant notifications</x:v>
      </x:c>
      <x:c r="F7" s="42" t="str">
        <x:v>Ouverte</x:v>
      </x:c>
      <x:c r="G7" s="42" t="str">
        <x:v>Moyen</x:v>
      </x:c>
      <x:c r="H7" s="42" t="str"/>
      <x:c r="I7" s="42" t="str"/>
      <x:c r="J7" s="42" t="str"/>
    </x:row>
    <x:row r="8">
      <x:c r="A8" s="42" t="str">
        <x:v>DEC-005</x:v>
      </x:c>
      <x:c r="B8" s="42" t="str">
        <x:v>Signature des reçus</x:v>
      </x:c>
      <x:c r="C8" s="42" t="str">
        <x:v>Choisir certificat, cachet serveur, horodatage et autorité de confiance.</x:v>
      </x:c>
      <x:c r="D8" s="42" t="str">
        <x:v>CNPM Finance/Juridique</x:v>
      </x:c>
      <x:c r="E8" s="42" t="str">
        <x:v>Avant émission officielle</x:v>
      </x:c>
      <x:c r="F8" s="42" t="str">
        <x:v>Ouverte</x:v>
      </x:c>
      <x:c r="G8" s="42" t="str">
        <x:v>Critique</x:v>
      </x:c>
      <x:c r="H8" s="42" t="str"/>
      <x:c r="I8" s="42" t="str"/>
      <x:c r="J8" s="42" t="str"/>
    </x:row>
    <x:row r="9">
      <x:c r="A9" s="42" t="str">
        <x:v>DEC-006</x:v>
      </x:c>
      <x:c r="B9" s="42" t="str">
        <x:v>Durées de conservation</x:v>
      </x:c>
      <x:c r="C9" s="42" t="str">
        <x:v>Valider les durées par catégorie et obligations maliennes applicables.</x:v>
      </x:c>
      <x:c r="D9" s="42" t="str">
        <x:v>Juridique/DPO</x:v>
      </x:c>
      <x:c r="E9" s="42" t="str">
        <x:v>Avant mise en production</x:v>
      </x:c>
      <x:c r="F9" s="42" t="str">
        <x:v>Ouverte</x:v>
      </x:c>
      <x:c r="G9" s="42" t="str">
        <x:v>Élevé</x:v>
      </x:c>
      <x:c r="H9" s="42" t="str"/>
      <x:c r="I9" s="42" t="str"/>
      <x:c r="J9" s="42" t="str"/>
    </x:row>
    <x:row r="10">
      <x:c r="A10" s="42" t="str">
        <x:v>DEC-007</x:v>
      </x:c>
      <x:c r="B10" s="42" t="str">
        <x:v>Interopérabilité INPS</x:v>
      </x:c>
      <x:c r="C10" s="42" t="str">
        <x:v>Obtenir gouvernance, protocole, données et calendrier de l’INPS.</x:v>
      </x:c>
      <x:c r="D10" s="42" t="str">
        <x:v>CNPM/INPS</x:v>
      </x:c>
      <x:c r="E10" s="42" t="str">
        <x:v>Roadmap Phase 2</x:v>
      </x:c>
      <x:c r="F10" s="42" t="str">
        <x:v>Ouverte</x:v>
      </x:c>
      <x:c r="G10" s="42" t="str">
        <x:v>Élevé</x:v>
      </x:c>
      <x:c r="H10" s="42" t="str"/>
      <x:c r="I10" s="42" t="str"/>
      <x:c r="J10" s="42" t="str"/>
    </x:row>
    <x:row r="11">
      <x:c r="A11" s="42" t="str">
        <x:v>DEC-008</x:v>
      </x:c>
      <x:c r="B11" s="42" t="str">
        <x:v>Barèmes de cotisation</x:v>
      </x:c>
      <x:c r="C11" s="42" t="str">
        <x:v>Valider la grille, paliers, dérogations et exercice de référence.</x:v>
      </x:c>
      <x:c r="D11" s="42" t="str">
        <x:v>CNPM Finance</x:v>
      </x:c>
      <x:c r="E11" s="42" t="str">
        <x:v>Avant génération d’appels</x:v>
      </x:c>
      <x:c r="F11" s="42" t="str">
        <x:v>Ouverte</x:v>
      </x:c>
      <x:c r="G11" s="42" t="str">
        <x:v>Critique</x:v>
      </x:c>
      <x:c r="H11" s="42" t="str"/>
      <x:c r="I11" s="42" t="str"/>
      <x:c r="J11" s="42" t="str"/>
    </x:row>
    <x:row r="12">
      <x:c r="A12" s="42" t="str">
        <x:v>DEC-009</x:v>
      </x:c>
      <x:c r="B12" s="42" t="str">
        <x:v>Taux de prime et partage</x:v>
      </x:c>
      <x:c r="C12" s="42" t="str">
        <x:v>Valider taux, assiettes, éligibilité, plafonds et règles de litige.</x:v>
      </x:c>
      <x:c r="D12" s="42" t="str">
        <x:v>CNPM Direction</x:v>
      </x:c>
      <x:c r="E12" s="42" t="str">
        <x:v>Avant module primes</x:v>
      </x:c>
      <x:c r="F12" s="42" t="str">
        <x:v>Ouverte</x:v>
      </x:c>
      <x:c r="G12" s="42" t="str">
        <x:v>Critique</x:v>
      </x:c>
      <x:c r="H12" s="42" t="str"/>
      <x:c r="I12" s="42" t="str"/>
      <x:c r="J12" s="42" t="str"/>
    </x:row>
    <x:row r="13">
      <x:c r="A13" s="42" t="str">
        <x:v>DEC-010</x:v>
      </x:c>
      <x:c r="B13" s="42" t="str">
        <x:v>Distribution mobile</x:v>
      </x:c>
      <x:c r="C13" s="42" t="str">
        <x:v>Déterminer stores publics, MDM ou distribution privée.</x:v>
      </x:c>
      <x:c r="D13" s="42" t="str">
        <x:v>CNPM DSI</x:v>
      </x:c>
      <x:c r="E13" s="42" t="str">
        <x:v>Avant bêta mobile</x:v>
      </x:c>
      <x:c r="F13" s="42" t="str">
        <x:v>Ouverte</x:v>
      </x:c>
      <x:c r="G13" s="42" t="str">
        <x:v>Moyen</x:v>
      </x:c>
      <x:c r="H13" s="42" t="str"/>
      <x:c r="I13" s="42" t="str"/>
      <x:c r="J13" s="42" t="str"/>
    </x:row>
    <x:row r="14">
      <x:c r="A14" s="42" t="str">
        <x:v>DEC-011</x:v>
      </x:c>
      <x:c r="B14" s="42" t="str">
        <x:v>SLA de production</x:v>
      </x:c>
      <x:c r="C14" s="42" t="str">
        <x:v>Valider disponibilité, RTO, RPO, support et pénalités.</x:v>
      </x:c>
      <x:c r="D14" s="42" t="str">
        <x:v>CNPM + Prestataire</x:v>
      </x:c>
      <x:c r="E14" s="42" t="str">
        <x:v>Contractualisation</x:v>
      </x:c>
      <x:c r="F14" s="42" t="str">
        <x:v>Ouverte</x:v>
      </x:c>
      <x:c r="G14" s="42" t="str">
        <x:v>Élevé</x:v>
      </x:c>
      <x:c r="H14" s="42" t="str"/>
      <x:c r="I14" s="42" t="str"/>
      <x:c r="J14" s="42" t="str"/>
    </x:row>
    <x:row r="15">
      <x:c r="A15" s="42" t="str">
        <x:v>DEC-012</x:v>
      </x:c>
      <x:c r="B15" s="42" t="str">
        <x:v>Périmètre du PoC</x:v>
      </x:c>
      <x:c r="C15" s="42" t="str">
        <x:v>Fixer taille, segments, durée et seuils de succès.</x:v>
      </x:c>
      <x:c r="D15" s="42" t="str">
        <x:v>Comité de pilotage</x:v>
      </x:c>
      <x:c r="E15" s="42" t="str">
        <x:v>Cadrage PoC</x:v>
      </x:c>
      <x:c r="F15" s="42" t="str">
        <x:v>Ouverte</x:v>
      </x:c>
      <x:c r="G15" s="42" t="str">
        <x:v>Critique</x:v>
      </x:c>
      <x:c r="H15" s="42" t="str"/>
      <x:c r="I15" s="42" t="str"/>
      <x:c r="J15" s="42" t="str"/>
    </x:row>
  </x:sheetData>
  <x:mergeCells>
    <x:mergeCell ref="A1:J1"/>
    <x:mergeCell ref="A2:J2"/>
  </x:mergeCells>
  <x:dataValidations count="1">
    <x:dataValidation type="list" sqref="F4:F15">
      <x:formula1>"Ouverte,En analyse,Décidée,Annulée"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2" hidden="0" customWidth="1"/>
    <x:col min="3" max="3" width="28" hidden="0" customWidth="1"/>
    <x:col min="4" max="4" width="32" hidden="0" customWidth="1"/>
    <x:col min="5" max="5" width="20" hidden="0" customWidth="1"/>
  </x:cols>
  <x:sheetData>
    <x:row r="1" ht="30" customHeight="1">
      <x:c r="A1" s="4" t="str">
        <x:v>Règles métier transverses</x:v>
      </x:c>
      <x:c r="B1" s="4"/>
      <x:c r="C1" s="4"/>
      <x:c r="D1" s="4"/>
      <x:c r="E1" s="4"/>
    </x:row>
    <x:row r="2" ht="28" customHeight="1">
      <x:c r="A2" s="10" t="str">
        <x:v>Règles prioritaires applicables à toutes les implémentations.</x:v>
      </x:c>
      <x:c r="B2" s="10"/>
      <x:c r="C2" s="10"/>
      <x:c r="D2" s="10"/>
      <x:c r="E2" s="10"/>
    </x:row>
    <x:row r="3" ht="30" customHeight="1">
      <x:c r="A3" s="37" t="str">
        <x:v>ID</x:v>
      </x:c>
      <x:c r="B3" s="37" t="str">
        <x:v>Règle</x:v>
      </x:c>
      <x:c r="C3" s="37" t="str">
        <x:v>Modules concernés</x:v>
      </x:c>
      <x:c r="D3" s="37" t="str">
        <x:v>Tests minimum</x:v>
      </x:c>
      <x:c r="E3" s="37" t="str">
        <x:v>Statut de validation</x:v>
      </x:c>
    </x:row>
    <x:row r="4">
      <x:c r="A4" s="42" t="str">
        <x:v>RG-001</x:v>
      </x:c>
      <x:c r="B4" s="42" t="str">
        <x:v>Le CNPM est propriétaire exclusif des données et peut en obtenir une copie complète à tout moment.</x:v>
      </x:c>
      <x:c r="C4" s="42" t="str">
        <x:v>Transverse</x:v>
      </x:c>
      <x:c r="D4" s="42" t="str">
        <x:v>Nominal; contrôle; audit</x:v>
      </x:c>
      <x:c r="E4" s="42" t="str">
        <x:v>À confirmer</x:v>
      </x:c>
    </x:row>
    <x:row r="5">
      <x:c r="A5" s="42" t="str">
        <x:v>RG-002</x:v>
      </x:c>
      <x:c r="B5" s="42" t="str">
        <x:v>Une entreprise ne peut disposer que d’un compte membre actif par personnalité juridique.</x:v>
      </x:c>
      <x:c r="C5" s="42" t="str">
        <x:v>Transverse</x:v>
      </x:c>
      <x:c r="D5" s="42" t="str">
        <x:v>Nominal; contrôle; audit</x:v>
      </x:c>
      <x:c r="E5" s="42" t="str">
        <x:v>À confirmer</x:v>
      </x:c>
    </x:row>
    <x:row r="6">
      <x:c r="A6" s="42" t="str">
        <x:v>RG-003</x:v>
      </x:c>
      <x:c r="B6" s="42" t="str">
        <x:v>Tout changement de NIF, RCCM, représentant légal ou coordonnées de paiement est une opération sensible.</x:v>
      </x:c>
      <x:c r="C6" s="42" t="str">
        <x:v>Transverse</x:v>
      </x:c>
      <x:c r="D6" s="42" t="str">
        <x:v>Nominal; contrôle; audit</x:v>
      </x:c>
      <x:c r="E6" s="42" t="str">
        <x:v>À confirmer</x:v>
      </x:c>
    </x:row>
    <x:row r="7">
      <x:c r="A7" s="42" t="str">
        <x:v>RG-004</x:v>
      </x:c>
      <x:c r="B7" s="42" t="str">
        <x:v>Un appel de cotisation publié ne peut être supprimé; il peut être annulé ou ajusté par écriture compensatrice.</x:v>
      </x:c>
      <x:c r="C7" s="42" t="str">
        <x:v>Transverse</x:v>
      </x:c>
      <x:c r="D7" s="42" t="str">
        <x:v>Nominal; contrôle; audit</x:v>
      </x:c>
      <x:c r="E7" s="42" t="str">
        <x:v>À confirmer</x:v>
      </x:c>
    </x:row>
    <x:row r="8">
      <x:c r="A8" s="42" t="str">
        <x:v>RG-005</x:v>
      </x:c>
      <x:c r="B8" s="42" t="str">
        <x:v>Un reçu officiel n’est émis qu’après confirmation du paiement par le CNPM.</x:v>
      </x:c>
      <x:c r="C8" s="42" t="str">
        <x:v>Transverse</x:v>
      </x:c>
      <x:c r="D8" s="42" t="str">
        <x:v>Nominal; contrôle; audit</x:v>
      </x:c>
      <x:c r="E8" s="42" t="str">
        <x:v>À confirmer</x:v>
      </x:c>
    </x:row>
    <x:row r="9">
      <x:c r="A9" s="42" t="str">
        <x:v>RG-006</x:v>
      </x:c>
      <x:c r="B9" s="42" t="str">
        <x:v>Toute annulation, remise, remboursement ou correction exige un motif et une autorisation adaptée.</x:v>
      </x:c>
      <x:c r="C9" s="42" t="str">
        <x:v>Transverse</x:v>
      </x:c>
      <x:c r="D9" s="42" t="str">
        <x:v>Nominal; contrôle; audit</x:v>
      </x:c>
      <x:c r="E9" s="42" t="str">
        <x:v>À confirmer</x:v>
      </x:c>
    </x:row>
    <x:row r="10">
      <x:c r="A10" s="42" t="str">
        <x:v>RG-007</x:v>
      </x:c>
      <x:c r="B10" s="42" t="str">
        <x:v>Une transaction externe est traitée de manière idempotente : un même identifiant ne peut être comptabilisé deux fois.</x:v>
      </x:c>
      <x:c r="C10" s="42" t="str">
        <x:v>Transverse</x:v>
      </x:c>
      <x:c r="D10" s="42" t="str">
        <x:v>Nominal; contrôle; audit</x:v>
      </x:c>
      <x:c r="E10" s="42" t="str">
        <x:v>À confirmer</x:v>
      </x:c>
    </x:row>
    <x:row r="11">
      <x:c r="A11" s="42" t="str">
        <x:v>RG-008</x:v>
      </x:c>
      <x:c r="B11" s="42" t="str">
        <x:v>Un paiement non rapproché ne réduit pas le solde officiel du membre.</x:v>
      </x:c>
      <x:c r="C11" s="42" t="str">
        <x:v>Transverse</x:v>
      </x:c>
      <x:c r="D11" s="42" t="str">
        <x:v>Nominal; contrôle; audit</x:v>
      </x:c>
      <x:c r="E11" s="42" t="str">
        <x:v>À confirmer</x:v>
      </x:c>
    </x:row>
    <x:row r="12">
      <x:c r="A12" s="42" t="str">
        <x:v>RG-009</x:v>
      </x:c>
      <x:c r="B12" s="42" t="str">
        <x:v>Les relances sont suspendues lorsqu’un litige bloquant ou une promesse valide est actif.</x:v>
      </x:c>
      <x:c r="C12" s="42" t="str">
        <x:v>Transverse</x:v>
      </x:c>
      <x:c r="D12" s="42" t="str">
        <x:v>Nominal; contrôle; audit</x:v>
      </x:c>
      <x:c r="E12" s="42" t="str">
        <x:v>À confirmer</x:v>
      </x:c>
    </x:row>
    <x:row r="13">
      <x:c r="A13" s="42" t="str">
        <x:v>RG-010</x:v>
      </x:c>
      <x:c r="B13" s="42" t="str">
        <x:v>Les membres actifs maintenus sur l’ancien système ne génèrent pas de rémunération prestataire si non enrôlés via la solution.</x:v>
      </x:c>
      <x:c r="C13" s="42" t="str">
        <x:v>Transverse</x:v>
      </x:c>
      <x:c r="D13" s="42" t="str">
        <x:v>Nominal; contrôle; audit</x:v>
      </x:c>
      <x:c r="E13" s="42" t="str">
        <x:v>À confirmer</x:v>
      </x:c>
    </x:row>
    <x:row r="14">
      <x:c r="A14" s="42" t="str">
        <x:v>RG-011</x:v>
      </x:c>
      <x:c r="B14" s="42" t="str">
        <x:v>La prime est calculée sur les encaissements effectivement confirmés et éligibles, non sur les appels émis.</x:v>
      </x:c>
      <x:c r="C14" s="42" t="str">
        <x:v>Transverse</x:v>
      </x:c>
      <x:c r="D14" s="42" t="str">
        <x:v>Nominal; contrôle; audit</x:v>
      </x:c>
      <x:c r="E14" s="42" t="str">
        <x:v>À confirmer</x:v>
      </x:c>
    </x:row>
    <x:row r="15">
      <x:c r="A15" s="42" t="str">
        <x:v>RG-012</x:v>
      </x:c>
      <x:c r="B15" s="42" t="str">
        <x:v>La clôture mensuelle fige les états financiers; toute correction ultérieure est comptabilisée sur une période ouverte.</x:v>
      </x:c>
      <x:c r="C15" s="42" t="str">
        <x:v>Transverse</x:v>
      </x:c>
      <x:c r="D15" s="42" t="str">
        <x:v>Nominal; contrôle; audit</x:v>
      </x:c>
      <x:c r="E15" s="42" t="str">
        <x:v>À confirmer</x:v>
      </x:c>
    </x:row>
    <x:row r="16">
      <x:c r="A16" s="42" t="str">
        <x:v>RG-013</x:v>
      </x:c>
      <x:c r="B16" s="42" t="str">
        <x:v>Les exports sensibles sont journalisés et peuvent nécessiter une justification.</x:v>
      </x:c>
      <x:c r="C16" s="42" t="str">
        <x:v>Transverse</x:v>
      </x:c>
      <x:c r="D16" s="42" t="str">
        <x:v>Nominal; contrôle; audit</x:v>
      </x:c>
      <x:c r="E16" s="42" t="str">
        <x:v>À confirmer</x:v>
      </x:c>
    </x:row>
    <x:row r="17">
      <x:c r="A17" s="42" t="str">
        <x:v>RG-014</x:v>
      </x:c>
      <x:c r="B17" s="42" t="str">
        <x:v>Les comptes inactifs ou expirés sont suspendus automatiquement selon la politique.</x:v>
      </x:c>
      <x:c r="C17" s="42" t="str">
        <x:v>Transverse</x:v>
      </x:c>
      <x:c r="D17" s="42" t="str">
        <x:v>Nominal; contrôle; audit</x:v>
      </x:c>
      <x:c r="E17" s="42" t="str">
        <x:v>À confirmer</x:v>
      </x:c>
    </x:row>
    <x:row r="18">
      <x:c r="A18" s="42" t="str">
        <x:v>RG-015</x:v>
      </x:c>
      <x:c r="B18" s="42" t="str">
        <x:v>Les pièces expirées déclenchent une alerte et peuvent limiter certains services sans supprimer l’historique.</x:v>
      </x:c>
      <x:c r="C18" s="42" t="str">
        <x:v>Transverse</x:v>
      </x:c>
      <x:c r="D18" s="42" t="str">
        <x:v>Nominal; contrôle; audit</x:v>
      </x:c>
      <x:c r="E18" s="42" t="str">
        <x:v>À confirmer</x:v>
      </x:c>
    </x:row>
    <x:row r="19">
      <x:c r="A19" s="42" t="str">
        <x:v>RG-016</x:v>
      </x:c>
      <x:c r="B19" s="42" t="str">
        <x:v>Le score analytique assiste la décision mais ne peut, seul, radier, sanctionner ou refuser un membre.</x:v>
      </x:c>
      <x:c r="C19" s="42" t="str">
        <x:v>Transverse</x:v>
      </x:c>
      <x:c r="D19" s="42" t="str">
        <x:v>Nominal; contrôle; audit</x:v>
      </x:c>
      <x:c r="E19" s="42" t="str">
        <x:v>À confirmer</x:v>
      </x:c>
    </x:row>
    <x:row r="20">
      <x:c r="A20" s="42" t="str">
        <x:v>RG-017</x:v>
      </x:c>
      <x:c r="B20" s="42" t="str">
        <x:v>Chaque KPI décisionnel possède une définition et un propriétaire métier.</x:v>
      </x:c>
      <x:c r="C20" s="42" t="str">
        <x:v>Transverse</x:v>
      </x:c>
      <x:c r="D20" s="42" t="str">
        <x:v>Nominal; contrôle; audit</x:v>
      </x:c>
      <x:c r="E20" s="42" t="str">
        <x:v>À confirmer</x:v>
      </x:c>
    </x:row>
    <x:row r="21">
      <x:c r="A21" s="42" t="str">
        <x:v>RG-018</x:v>
      </x:c>
      <x:c r="B21" s="42" t="str">
        <x:v>Les données synchronisées hors ligne ne peuvent confirmer une opération financière avant validation centrale.</x:v>
      </x:c>
      <x:c r="C21" s="42" t="str">
        <x:v>Transverse</x:v>
      </x:c>
      <x:c r="D21" s="42" t="str">
        <x:v>Nominal; contrôle; audit</x:v>
      </x:c>
      <x:c r="E21" s="42" t="str">
        <x:v>À confirmer</x:v>
      </x:c>
    </x:row>
    <x:row r="22">
      <x:c r="A22" s="42" t="str">
        <x:v>RG-019</x:v>
      </x:c>
      <x:c r="B22" s="42" t="str">
        <x:v>La réversibilité doit inclure données, pièces, journaux, modèles, référentiels et documentation.</x:v>
      </x:c>
      <x:c r="C22" s="42" t="str">
        <x:v>Transverse</x:v>
      </x:c>
      <x:c r="D22" s="42" t="str">
        <x:v>Nominal; contrôle; audit</x:v>
      </x:c>
      <x:c r="E22" s="42" t="str">
        <x:v>À confirmer</x:v>
      </x:c>
    </x:row>
    <x:row r="23">
      <x:c r="A23" s="42" t="str">
        <x:v>RG-020</x:v>
      </x:c>
      <x:c r="B23" s="42" t="str">
        <x:v>Toute modification de la politique de confidentialité ou des consentements est versionnée et horodatée.</x:v>
      </x:c>
      <x:c r="C23" s="42" t="str">
        <x:v>Transverse</x:v>
      </x:c>
      <x:c r="D23" s="42" t="str">
        <x:v>Nominal; contrôle; audit</x:v>
      </x:c>
      <x:c r="E23" s="42" t="str">
        <x:v>À confirmer</x:v>
      </x:c>
    </x:row>
  </x:sheetData>
  <x:mergeCells>
    <x:mergeCell ref="A1:E1"/>
    <x:mergeCell ref="A2:E2"/>
  </x:mergeCells>
  <x:dataValidations count="1">
    <x:dataValidation type="list" sqref="E4:E23">
      <x:formula1>"À confirmer,Validée,Modifiée,Retirée"</x:formula1>
    </x:dataValidation>
  </x:dataValidations>
  <x:pageMargins left="0.7" right="0.7" top="0.75" bottom="0.75" header="0.3" footer="0.3"/>
</x:worksheet>
</file>